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30" windowWidth="20115" windowHeight="7755"/>
  </bookViews>
  <sheets>
    <sheet name="DASHBOARD" sheetId="5" r:id="rId1"/>
    <sheet name="EDA_Dataset" sheetId="3" r:id="rId2"/>
    <sheet name="Pivot_KPI_Monthly_Growth_Table" sheetId="11" r:id="rId3"/>
    <sheet name="Pivot_Top_Chart_Tables" sheetId="10" r:id="rId4"/>
    <sheet name="Pivot_Chart_Tables" sheetId="13" r:id="rId5"/>
    <sheet name="Pivot_Contribution_Tabels" sheetId="12" r:id="rId6"/>
  </sheets>
  <definedNames>
    <definedName name="_xlnm.Print_Area" localSheetId="0">DASHBOARD!$A$1:$T$46</definedName>
    <definedName name="Slicer_Brand">#N/A</definedName>
    <definedName name="Slicer_Country">#N/A</definedName>
    <definedName name="Slicer_Date">#N/A</definedName>
    <definedName name="Slicer_Sales_Channel">#N/A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11" l="1"/>
  <c r="D20" i="11" s="1"/>
  <c r="E20" i="11" s="1"/>
  <c r="O3" i="5" s="1"/>
  <c r="D6" i="11"/>
  <c r="D7" i="11"/>
  <c r="D8" i="11"/>
  <c r="D9" i="11"/>
  <c r="D10" i="11"/>
  <c r="D11" i="11"/>
  <c r="D12" i="11"/>
  <c r="D13" i="11"/>
  <c r="D14" i="11"/>
  <c r="D15" i="11"/>
  <c r="O4" i="3" l="1"/>
  <c r="O5" i="3"/>
  <c r="O6" i="3"/>
  <c r="O7" i="3"/>
  <c r="O8" i="3"/>
  <c r="O9" i="3"/>
  <c r="O10" i="3"/>
  <c r="O11" i="3"/>
  <c r="O12" i="3"/>
  <c r="O3" i="3"/>
  <c r="N4" i="3"/>
  <c r="N5" i="3"/>
  <c r="N6" i="3"/>
  <c r="N7" i="3"/>
  <c r="N8" i="3"/>
  <c r="N9" i="3"/>
  <c r="N10" i="3"/>
  <c r="N11" i="3"/>
  <c r="N12" i="3"/>
  <c r="N3" i="3"/>
  <c r="M5" i="3"/>
  <c r="M4" i="3"/>
  <c r="M6" i="3"/>
  <c r="M7" i="3"/>
  <c r="M8" i="3"/>
  <c r="M9" i="3"/>
  <c r="M10" i="3"/>
  <c r="M11" i="3"/>
  <c r="M12" i="3"/>
  <c r="M3" i="3"/>
</calcChain>
</file>

<file path=xl/sharedStrings.xml><?xml version="1.0" encoding="utf-8"?>
<sst xmlns="http://schemas.openxmlformats.org/spreadsheetml/2006/main" count="3122" uniqueCount="567">
  <si>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</si>
  <si>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</si>
  <si>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</si>
  <si>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</si>
  <si>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</si>
  <si>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</si>
  <si>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</si>
  <si>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</si>
  <si>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</si>
  <si>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</si>
  <si>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</si>
  <si>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</si>
  <si>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</si>
  <si>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</si>
  <si>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</si>
  <si>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</si>
  <si>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</si>
  <si>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</si>
  <si>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</si>
  <si>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</si>
  <si>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</si>
  <si>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</si>
  <si>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</si>
  <si>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</si>
  <si>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</si>
  <si>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</si>
  <si>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</si>
  <si>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</si>
  <si>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</si>
  <si>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</si>
  <si>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</si>
  <si>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</si>
  <si>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</si>
  <si>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</si>
  <si>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</si>
  <si>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</si>
  <si>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</si>
  <si>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</si>
  <si>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</si>
  <si>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</si>
  <si>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</si>
  <si>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</si>
  <si>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</si>
  <si>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</si>
  <si>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</si>
  <si>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</si>
  <si>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</si>
  <si>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</si>
  <si>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</si>
  <si>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</si>
  <si>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</si>
  <si>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</si>
  <si>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</si>
  <si>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</si>
  <si>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</si>
  <si>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</si>
  <si>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</si>
  <si>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</si>
  <si>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</si>
  <si>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</si>
  <si>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</si>
  <si>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</si>
  <si>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</si>
  <si>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</si>
  <si>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</si>
  <si>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</si>
  <si>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</si>
  <si>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</si>
  <si>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</si>
  <si>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</si>
  <si>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</si>
  <si>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</si>
  <si>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</si>
  <si>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</si>
  <si>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</si>
  <si>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</si>
  <si>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</si>
  <si>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</si>
  <si>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</si>
  <si>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</si>
  <si>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</si>
  <si>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</si>
  <si>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</si>
  <si>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</si>
  <si>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</si>
  <si>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</si>
  <si>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</si>
  <si>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</si>
  <si>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</si>
  <si>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</si>
  <si>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</si>
  <si>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</si>
  <si>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</si>
  <si>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</si>
  <si>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</si>
  <si>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</si>
  <si>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</si>
  <si>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</si>
  <si>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</si>
  <si>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</si>
  <si>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</si>
  <si>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</si>
  <si>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</si>
  <si>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</si>
  <si>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</si>
  <si>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</si>
  <si>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</si>
  <si>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</si>
  <si>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</si>
  <si>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</si>
  <si>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</si>
  <si>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</si>
  <si>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</si>
  <si>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</si>
  <si>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</si>
  <si>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</si>
  <si>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</si>
  <si>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</si>
  <si>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</si>
  <si>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</si>
  <si>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</si>
  <si>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</si>
  <si>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</si>
  <si>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</si>
  <si>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</si>
  <si>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</si>
  <si>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</si>
  <si>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</si>
  <si>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</si>
  <si>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</si>
  <si>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</si>
  <si>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</si>
  <si>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</si>
  <si>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</si>
  <si>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</si>
  <si>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</si>
  <si>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</si>
  <si>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</si>
  <si>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</si>
  <si>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</si>
  <si>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</si>
  <si>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</si>
  <si>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</si>
  <si>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</si>
  <si>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</si>
  <si>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</si>
  <si>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</si>
  <si>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</si>
  <si>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</si>
  <si>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</si>
  <si>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</si>
  <si>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</si>
  <si>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</si>
  <si>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</si>
  <si>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</si>
  <si>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</si>
  <si>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</si>
  <si>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</si>
  <si>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</si>
  <si>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</si>
  <si>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</si>
  <si>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</si>
  <si>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</si>
  <si>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</si>
  <si>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</si>
  <si>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</si>
  <si>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</si>
  <si>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</si>
  <si>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</si>
  <si>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</si>
  <si>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</si>
  <si>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</si>
  <si>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</si>
  <si>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</si>
  <si>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</si>
  <si>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</si>
  <si>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</si>
  <si>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</si>
  <si>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</si>
  <si>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</si>
  <si>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</si>
  <si>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</si>
  <si>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</si>
  <si>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</si>
  <si>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</si>
  <si>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</si>
  <si>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</si>
  <si>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</si>
  <si>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</si>
  <si>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</si>
  <si>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</si>
  <si>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</si>
  <si>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</si>
  <si>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</si>
  <si>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</si>
  <si>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</si>
  <si>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</si>
  <si>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</si>
  <si>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</si>
  <si>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</si>
  <si>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</si>
  <si>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</si>
  <si>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</si>
  <si>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</si>
  <si>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</si>
  <si>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</si>
  <si>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</si>
  <si>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</si>
  <si>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</si>
  <si>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</si>
  <si>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</si>
  <si>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</si>
  <si>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</si>
  <si>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</si>
  <si>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</si>
  <si>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</si>
  <si>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</si>
  <si>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</si>
  <si>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</si>
  <si>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</si>
  <si>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</si>
  <si>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</si>
  <si>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</si>
  <si>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</si>
  <si>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</si>
  <si>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</si>
  <si>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</si>
  <si>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</si>
  <si>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</si>
  <si>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</si>
  <si>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</si>
  <si>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</si>
  <si>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</si>
  <si>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</si>
  <si>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</si>
  <si>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</si>
  <si>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</si>
  <si>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</si>
  <si>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</si>
  <si>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</si>
  <si>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</si>
  <si>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</si>
  <si>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</si>
  <si>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</si>
  <si>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</si>
  <si>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</si>
  <si>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</si>
  <si>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</si>
  <si>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</si>
  <si>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</si>
  <si>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</si>
  <si>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</si>
  <si>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</si>
  <si>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</si>
  <si>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</si>
  <si>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</si>
  <si>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</si>
  <si>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</si>
  <si>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</si>
  <si>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</si>
  <si>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</si>
  <si>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</si>
  <si>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</si>
  <si>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</si>
  <si>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</si>
  <si>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</si>
  <si>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</si>
  <si>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</si>
  <si>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</si>
  <si>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</si>
  <si>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</si>
  <si>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</si>
  <si>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</si>
  <si>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</si>
  <si>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</si>
  <si>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</si>
  <si>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</si>
  <si>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</si>
  <si>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</si>
  <si>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</si>
  <si>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</si>
  <si>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</si>
  <si>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</si>
  <si>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</si>
  <si>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</si>
  <si>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</si>
  <si>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</si>
  <si>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</si>
  <si>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</si>
  <si>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</si>
  <si>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</si>
  <si>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</si>
  <si>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</si>
  <si>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</si>
  <si>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</si>
  <si>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</si>
  <si>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</si>
  <si>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</si>
  <si>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</si>
  <si>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</si>
  <si>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</si>
  <si>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</si>
  <si>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</si>
  <si>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</si>
  <si>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</si>
  <si>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</si>
  <si>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</si>
  <si>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</si>
  <si>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</si>
  <si>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</si>
  <si>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</si>
  <si>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</si>
  <si>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</si>
  <si>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</si>
  <si>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</si>
  <si>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</si>
  <si>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</si>
  <si>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</si>
  <si>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</si>
  <si>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</si>
  <si>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</si>
  <si>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</si>
  <si>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</si>
  <si>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</si>
  <si>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</si>
  <si>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</si>
  <si>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</si>
  <si>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</si>
  <si>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</si>
  <si>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</si>
  <si>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</si>
  <si>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</si>
  <si>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</si>
  <si>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</si>
  <si>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</si>
  <si>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</si>
  <si>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</si>
  <si>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</si>
  <si>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</si>
  <si>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</si>
  <si>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</si>
  <si>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</si>
  <si>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</si>
  <si>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</si>
  <si>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</si>
  <si>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</si>
  <si>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</si>
  <si>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</si>
  <si>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</si>
  <si>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</si>
  <si>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</si>
  <si>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</si>
  <si>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</si>
  <si>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</si>
  <si>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</si>
  <si>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</si>
  <si>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</si>
  <si>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</si>
  <si>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</si>
  <si>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</si>
  <si>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</si>
  <si>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</si>
  <si>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</si>
  <si>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</si>
  <si>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</si>
  <si>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</si>
  <si>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</si>
  <si>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</si>
  <si>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</si>
  <si>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</si>
  <si>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</si>
  <si>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</si>
  <si>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</si>
  <si>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</si>
  <si>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</si>
  <si>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</si>
  <si>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</si>
  <si>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</si>
  <si>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</si>
  <si>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</si>
  <si>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</si>
  <si>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</si>
  <si>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</si>
  <si>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</si>
  <si>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</si>
  <si>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</si>
  <si>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</si>
  <si>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</si>
  <si>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</si>
  <si>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</si>
  <si>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</si>
  <si>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</si>
  <si>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</si>
  <si>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</si>
  <si>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</si>
  <si>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</si>
  <si>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</si>
  <si>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</si>
  <si>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</si>
  <si>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</si>
  <si>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</si>
  <si>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</si>
  <si>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</si>
  <si>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</si>
  <si>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</si>
  <si>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</si>
  <si>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</si>
  <si>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</si>
  <si>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</si>
  <si>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</si>
  <si>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</si>
  <si>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</si>
  <si>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</si>
  <si>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</si>
  <si>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</si>
  <si>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</si>
  <si>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</si>
  <si>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</si>
  <si>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</si>
  <si>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</si>
  <si>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</si>
  <si>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</si>
  <si>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</si>
  <si>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</si>
  <si>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</si>
  <si>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</si>
  <si>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</si>
  <si>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</si>
  <si>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</si>
  <si>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</si>
  <si>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</si>
  <si>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</si>
  <si>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</si>
  <si>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</si>
  <si>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</si>
  <si>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</si>
  <si>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</si>
  <si>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</si>
  <si>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</si>
  <si>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</si>
  <si>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</si>
  <si>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</si>
  <si>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</si>
  <si>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</si>
  <si>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</si>
  <si>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</si>
  <si>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</si>
  <si>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</si>
  <si>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</si>
  <si>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</si>
  <si>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</si>
  <si>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</si>
  <si>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</si>
  <si>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</si>
  <si>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</si>
  <si>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</si>
  <si>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</si>
  <si>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</si>
  <si>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</si>
  <si>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</si>
  <si>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</si>
  <si>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</si>
  <si>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</si>
  <si>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</si>
  <si>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</si>
  <si>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</si>
  <si>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</si>
  <si>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</si>
  <si>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</si>
  <si>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</si>
  <si>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</si>
  <si>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</si>
  <si>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</si>
  <si>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</si>
  <si>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</si>
  <si>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</si>
  <si>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</si>
  <si>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</si>
  <si>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</si>
  <si>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</si>
  <si>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</si>
  <si>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</si>
  <si>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</si>
  <si>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</si>
  <si>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</si>
  <si>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</si>
  <si>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</si>
  <si>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</si>
  <si>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</si>
  <si>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</si>
  <si>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</si>
  <si>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</si>
  <si>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</si>
  <si>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</si>
  <si>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</si>
  <si>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</si>
  <si>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</si>
  <si>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</si>
  <si>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</si>
  <si>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</si>
  <si>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</si>
  <si>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</si>
  <si>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</si>
  <si>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</si>
  <si>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</si>
  <si>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</si>
  <si>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</si>
  <si>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</si>
  <si>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</si>
  <si>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</si>
  <si>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</si>
  <si>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</si>
  <si>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</si>
  <si>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</si>
  <si>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</si>
  <si>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</si>
  <si>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</si>
  <si>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</si>
  <si>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</si>
  <si>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</si>
  <si>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</si>
  <si>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</si>
  <si>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</si>
  <si>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</si>
  <si>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</si>
  <si>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</si>
  <si>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</si>
  <si>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</si>
  <si>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</si>
  <si>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</si>
  <si>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</si>
  <si>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</si>
  <si>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</si>
  <si>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</si>
  <si>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</si>
  <si>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</si>
  <si>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</si>
  <si>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Column Name</t>
  </si>
  <si>
    <t>Number of Data</t>
  </si>
  <si>
    <t>Missing Values</t>
  </si>
  <si>
    <t>Duplicate Data</t>
  </si>
  <si>
    <t>Use of Conditional Formatting: to identify duplicate data. In this dataset, the Sale_ID column should contain unique values. The results showed that no duplicate data was detected in the Sale_ID.</t>
  </si>
  <si>
    <t>Type of Data</t>
  </si>
  <si>
    <t>Total Revenue</t>
  </si>
  <si>
    <t>AVG Revenue</t>
  </si>
  <si>
    <t>Total Transaction</t>
  </si>
  <si>
    <t>Total Sold (Pcs)</t>
  </si>
  <si>
    <t>Sum of Revenue_USD</t>
  </si>
  <si>
    <t>Row Labels</t>
  </si>
  <si>
    <t>Jan</t>
  </si>
  <si>
    <t>Mar</t>
  </si>
  <si>
    <t>Jun</t>
  </si>
  <si>
    <t>Grand Total</t>
  </si>
  <si>
    <t>Sum of Units_Sold</t>
  </si>
  <si>
    <t>Agu</t>
  </si>
  <si>
    <t>Okt</t>
  </si>
  <si>
    <t>Des</t>
  </si>
  <si>
    <t>Feb</t>
  </si>
  <si>
    <t>Apr</t>
  </si>
  <si>
    <t>Mei</t>
  </si>
  <si>
    <t>Jul</t>
  </si>
  <si>
    <t>Sep</t>
  </si>
  <si>
    <t>Nov</t>
  </si>
  <si>
    <t>Pivot Revenue</t>
  </si>
  <si>
    <t>Pivot Dashboard</t>
  </si>
  <si>
    <t>MoM(%)</t>
  </si>
  <si>
    <t>Monthly Growth</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</si>
</sst>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409]\ \ * #,##0.00_ ;_-[$$-409]* \-#,##0.00\ ;_-[$$-409]* &quot;-&quot;??_ ;_-@_ "/>
    <numFmt numFmtId="165" formatCode="_-[$$-409]* #,##0.00_ ;_-[$$-409]* \-#,##0.00\ ;_-[$$-409]* &quot;-&quot;??_ ;_-@_ "/>
    <numFmt numFmtId="166" formatCode="[$-809]d\ mmmm\ yyyy;@"/>
    <numFmt numFmtId="167" formatCode="dd/mm/yyyy;@"/>
    <numFmt numFmtId="168" formatCode="[$$-409]#,\K"/>
  </numFmts>
  <fonts count="25"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b/>
      <sz val="11"/>
      <color theme="0"/>
      <name val="Calibri"/>
      <family val="2"/>
      <scheme val="minor"/>
    </font>
    <font>
      <sz val="12"/>
      <color theme="1"/>
      <name val="Calibri"/>
      <family val="2"/>
      <charset val="1"/>
      <scheme val="minor"/>
    </font>
    <font>
      <sz val="14"/>
      <color theme="2" tint="-0.89999084444715716"/>
      <name val="Calibri"/>
      <family val="2"/>
      <charset val="1"/>
      <scheme val="minor"/>
    </font>
    <font>
      <b/>
      <sz val="14"/>
      <color theme="0"/>
      <name val="Calibri"/>
      <family val="2"/>
      <charset val="1"/>
      <scheme val="minor"/>
    </font>
    <font>
      <b/>
      <sz val="14"/>
      <color theme="1"/>
      <name val="Calibri"/>
      <family val="2"/>
      <scheme val="minor"/>
    </font>
    <font>
      <b/>
      <sz val="14"/>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249977111117893"/>
      </top>
      <bottom/>
      <diagonal/>
    </border>
    <border>
      <left/>
      <right/>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diagonal/>
    </border>
    <border>
      <left/>
      <right style="thin">
        <color theme="4" tint="-0.249977111117893"/>
      </right>
      <top style="thin">
        <color theme="4" tint="-0.249977111117893"/>
      </top>
      <bottom/>
      <diagonal/>
    </border>
    <border>
      <left style="thin">
        <color theme="4" tint="-0.249977111117893"/>
      </left>
      <right/>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style="thin">
        <color theme="4" tint="-0.249977111117893"/>
      </right>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style="thin">
        <color theme="4" tint="-0.249977111117893"/>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54">
    <xf numFmtId="0" fontId="0" fillId="0" borderId="0" xfId="0"/>
    <xf numFmtId="14" fontId="0" fillId="0" borderId="0" xfId="0" applyNumberFormat="1"/>
    <xf numFmtId="2" fontId="0" fillId="0" borderId="0" xfId="0" applyNumberFormat="1"/>
    <xf numFmtId="0" fontId="18" fillId="33" borderId="0" xfId="0" applyFont="1" applyFill="1" applyBorder="1"/>
    <xf numFmtId="0" fontId="0" fillId="33" borderId="13" xfId="0" applyFill="1" applyBorder="1"/>
    <xf numFmtId="0" fontId="0" fillId="33" borderId="0" xfId="0" applyFill="1" applyBorder="1"/>
    <xf numFmtId="2" fontId="18" fillId="33" borderId="0" xfId="0" applyNumberFormat="1" applyFont="1" applyFill="1" applyBorder="1"/>
    <xf numFmtId="2" fontId="18" fillId="33" borderId="10" xfId="0" applyNumberFormat="1" applyFont="1" applyFill="1" applyBorder="1"/>
    <xf numFmtId="0" fontId="0" fillId="33" borderId="14" xfId="0" applyFill="1" applyBorder="1"/>
    <xf numFmtId="0" fontId="0" fillId="33" borderId="10" xfId="0" applyFill="1" applyBorder="1"/>
    <xf numFmtId="0" fontId="19" fillId="34" borderId="11" xfId="0" applyFont="1" applyFill="1" applyBorder="1" applyAlignment="1">
      <alignment horizontal="center"/>
    </xf>
    <xf numFmtId="0" fontId="19" fillId="34" borderId="12" xfId="0" applyFont="1" applyFill="1" applyBorder="1" applyAlignment="1">
      <alignment horizontal="center"/>
    </xf>
    <xf numFmtId="0" fontId="0" fillId="0" borderId="0" xfId="0" applyFill="1" applyAlignment="1"/>
    <xf numFmtId="0" fontId="0" fillId="0" borderId="0" xfId="0" applyFill="1"/>
    <xf numFmtId="0" fontId="0" fillId="0" borderId="0" xfId="0" pivotButton="1"/>
    <xf numFmtId="14" fontId="0" fillId="0" borderId="0" xfId="0" applyNumberFormat="1" applyAlignment="1">
      <alignment horizontal="left"/>
    </xf>
    <xf numFmtId="167" fontId="0" fillId="0" borderId="0" xfId="0" applyNumberFormat="1"/>
    <xf numFmtId="0" fontId="0" fillId="0" borderId="0" xfId="0" applyAlignment="1">
      <alignment horizontal="left"/>
    </xf>
    <xf numFmtId="168" fontId="0" fillId="0" borderId="0" xfId="0" applyNumberFormat="1"/>
    <xf numFmtId="1" fontId="0" fillId="0" borderId="0" xfId="0" applyNumberFormat="1"/>
    <xf numFmtId="0" fontId="0" fillId="0" borderId="0" xfId="0" applyFill="1" applyBorder="1" applyAlignment="1"/>
    <xf numFmtId="0" fontId="0" fillId="36" borderId="0" xfId="0" applyFill="1" applyBorder="1" applyAlignment="1"/>
    <xf numFmtId="0" fontId="0" fillId="36" borderId="0" xfId="0" applyFill="1" applyBorder="1"/>
    <xf numFmtId="0" fontId="0" fillId="36" borderId="0" xfId="0" applyNumberFormat="1" applyFill="1" applyBorder="1" applyAlignment="1">
      <alignment horizontal="center"/>
    </xf>
    <xf numFmtId="0" fontId="0" fillId="36" borderId="0" xfId="0" applyFill="1" applyBorder="1" applyAlignment="1">
      <alignment vertical="center"/>
    </xf>
    <xf numFmtId="0" fontId="0" fillId="36" borderId="0" xfId="0" applyFill="1" applyBorder="1" applyAlignment="1">
      <alignment horizontal="center"/>
    </xf>
    <xf numFmtId="0" fontId="0" fillId="36" borderId="0" xfId="0" applyNumberFormat="1" applyFill="1" applyBorder="1"/>
    <xf numFmtId="10" fontId="16" fillId="0" borderId="0" xfId="0" applyNumberFormat="1" applyFont="1"/>
    <xf numFmtId="0" fontId="0" fillId="0" borderId="0" xfId="0" applyFill="1" applyBorder="1"/>
    <xf numFmtId="10" fontId="0" fillId="0" borderId="0" xfId="0" applyNumberFormat="1" applyFont="1"/>
    <xf numFmtId="10" fontId="0" fillId="0" borderId="0" xfId="0" applyNumberFormat="1"/>
    <xf numFmtId="0" fontId="20" fillId="36" borderId="0" xfId="0" applyFont="1" applyFill="1" applyBorder="1" applyAlignment="1"/>
    <xf numFmtId="9" fontId="0" fillId="0" borderId="0" xfId="42" applyFont="1"/>
    <xf numFmtId="10" fontId="0" fillId="0" borderId="0" xfId="42" applyNumberFormat="1" applyFont="1"/>
    <xf numFmtId="9" fontId="0" fillId="0" borderId="0" xfId="42" applyNumberFormat="1" applyFont="1"/>
    <xf numFmtId="0" fontId="0" fillId="36" borderId="15" xfId="0" applyFill="1" applyBorder="1" applyAlignment="1"/>
    <xf numFmtId="0" fontId="20" fillId="36" borderId="15" xfId="0" applyFont="1" applyFill="1" applyBorder="1" applyAlignment="1"/>
    <xf numFmtId="0" fontId="0" fillId="36" borderId="19" xfId="0" applyFill="1" applyBorder="1"/>
    <xf numFmtId="0" fontId="0" fillId="36" borderId="20" xfId="0" applyFill="1" applyBorder="1" applyAlignment="1"/>
    <xf numFmtId="0" fontId="0" fillId="36" borderId="21" xfId="0" applyFill="1" applyBorder="1"/>
    <xf numFmtId="10" fontId="24" fillId="35" borderId="0" xfId="42" applyNumberFormat="1" applyFont="1" applyFill="1" applyBorder="1" applyAlignment="1">
      <alignment horizontal="center" vertical="center"/>
    </xf>
    <xf numFmtId="0" fontId="0" fillId="36" borderId="22" xfId="0" applyFill="1" applyBorder="1" applyAlignment="1"/>
    <xf numFmtId="0" fontId="0" fillId="36" borderId="16" xfId="0" applyFill="1" applyBorder="1" applyAlignment="1"/>
    <xf numFmtId="0" fontId="0" fillId="36" borderId="23" xfId="0" applyFill="1" applyBorder="1"/>
    <xf numFmtId="0" fontId="21" fillId="37" borderId="17" xfId="0" applyFont="1" applyFill="1" applyBorder="1" applyAlignment="1">
      <alignment horizontal="center" vertical="center"/>
    </xf>
    <xf numFmtId="164" fontId="22" fillId="35" borderId="24" xfId="0" applyNumberFormat="1" applyFont="1" applyFill="1" applyBorder="1" applyAlignment="1">
      <alignment vertical="center"/>
    </xf>
    <xf numFmtId="0" fontId="21" fillId="37" borderId="25" xfId="0" applyFont="1" applyFill="1" applyBorder="1" applyAlignment="1">
      <alignment horizontal="center" vertical="center"/>
    </xf>
    <xf numFmtId="165" fontId="22" fillId="35" borderId="24" xfId="0" applyNumberFormat="1" applyFont="1" applyFill="1" applyBorder="1" applyAlignment="1">
      <alignment vertical="center"/>
    </xf>
    <xf numFmtId="0" fontId="22" fillId="35" borderId="24" xfId="0" applyNumberFormat="1" applyFont="1" applyFill="1" applyBorder="1" applyAlignment="1">
      <alignment horizontal="center" vertical="center"/>
    </xf>
    <xf numFmtId="0" fontId="23" fillId="0" borderId="17" xfId="0" applyFont="1" applyFill="1" applyBorder="1" applyAlignment="1">
      <alignment horizontal="center" vertical="center"/>
    </xf>
    <xf numFmtId="0" fontId="0" fillId="33" borderId="13" xfId="0" applyFill="1" applyBorder="1" applyAlignment="1">
      <alignment horizontal="center" wrapText="1"/>
    </xf>
    <xf numFmtId="0" fontId="0" fillId="33" borderId="14" xfId="0" applyFill="1" applyBorder="1" applyAlignment="1">
      <alignment horizontal="center" wrapText="1"/>
    </xf>
    <xf numFmtId="0" fontId="0" fillId="36" borderId="18" xfId="0" applyFill="1" applyBorder="1" applyAlignment="1">
      <alignment horizontal="center" wrapText="1"/>
    </xf>
    <xf numFmtId="0" fontId="0" fillId="36" borderId="15" xfId="0" applyFill="1" applyBorder="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4">
    <dxf>
      <numFmt numFmtId="14" formatCode="0.00%"/>
    </dxf>
    <dxf>
      <numFmt numFmtId="168" formatCode="[$$-409]#,\K"/>
    </dxf>
    <dxf>
      <numFmt numFmtId="14" formatCode="0.00%"/>
    </dxf>
    <dxf>
      <numFmt numFmtId="168" formatCode="[$$-409]#,\K"/>
    </dxf>
    <dxf>
      <numFmt numFmtId="1" formatCode="0"/>
    </dxf>
    <dxf>
      <numFmt numFmtId="168" formatCode="[$$-409]#,\K"/>
    </dxf>
    <dxf>
      <numFmt numFmtId="1" formatCode="0"/>
    </dxf>
    <dxf>
      <font>
        <b val="0"/>
      </font>
    </dxf>
    <dxf>
      <numFmt numFmtId="14" formatCode="0.00%"/>
    </dxf>
    <dxf>
      <font>
        <b/>
      </font>
    </dxf>
    <dxf>
      <numFmt numFmtId="171" formatCode="[$$-409]#,##0_ ;\-[$$-409]#,##0\ "/>
    </dxf>
    <dxf>
      <numFmt numFmtId="168" formatCode="[$$-409]#,\K"/>
    </dxf>
    <dxf>
      <numFmt numFmtId="168" formatCode="[$$-409]#,\K"/>
    </dxf>
    <dxf>
      <numFmt numFmtId="168" formatCode="[$$-409]#,\K"/>
    </dxf>
    <dxf>
      <numFmt numFmtId="168" formatCode="[$$-409]#,\K"/>
    </dxf>
    <dxf>
      <numFmt numFmtId="168" formatCode="[$$-409]#,\K"/>
    </dxf>
    <dxf>
      <numFmt numFmtId="168" formatCode="[$$-409]#,\K"/>
    </dxf>
    <dxf>
      <border>
        <left style="thin">
          <color theme="4" tint="-0.249977111117893"/>
        </left>
        <right style="thin">
          <color theme="4" tint="-0.249977111117893"/>
        </right>
        <top style="thin">
          <color theme="4" tint="-0.249977111117893"/>
        </top>
        <bottom style="thin">
          <color theme="4" tint="-0.249977111117893"/>
        </bottom>
      </border>
    </dxf>
    <dxf>
      <fill>
        <patternFill>
          <bgColor theme="0"/>
        </patternFill>
      </fill>
    </dxf>
    <dxf>
      <border>
        <left/>
        <right/>
        <top/>
      </border>
    </dxf>
    <dxf>
      <font>
        <sz val="14"/>
      </font>
    </dxf>
    <dxf>
      <font>
        <sz val="14"/>
      </font>
    </dxf>
    <dxf>
      <fill>
        <patternFill>
          <bgColor theme="0"/>
        </patternFill>
      </fill>
    </dxf>
    <dxf>
      <fill>
        <patternFill>
          <bgColor theme="3" tint="-0.499984740745262"/>
        </patternFill>
      </fill>
    </dxf>
    <dxf>
      <font>
        <color theme="2" tint="-0.89999084444715716"/>
      </font>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ill>
        <patternFill>
          <bgColor theme="4" tint="0.59999389629810485"/>
        </patternFill>
      </fill>
    </dxf>
    <dxf>
      <fill>
        <patternFill patternType="solid">
          <bgColor theme="4" tint="0.79998168889431442"/>
        </patternFill>
      </fill>
    </dxf>
    <dxf>
      <font>
        <color theme="0"/>
      </font>
    </dxf>
    <dxf>
      <font>
        <color theme="3" tint="-0.499984740745262"/>
      </font>
    </dxf>
    <dxf>
      <fill>
        <patternFill>
          <bgColor theme="2"/>
        </patternFill>
      </fill>
    </dxf>
    <dxf>
      <fill>
        <patternFill>
          <bgColor theme="0"/>
        </patternFill>
      </fill>
    </dxf>
    <dxf>
      <font>
        <color auto="1"/>
      </font>
    </dxf>
    <dxf>
      <fill>
        <patternFill>
          <bgColor theme="3" tint="0.79998168889431442"/>
        </patternFill>
      </fill>
    </dxf>
    <dxf>
      <fill>
        <patternFill>
          <bgColor theme="1" tint="0.499984740745262"/>
        </patternFill>
      </fill>
    </dxf>
    <dxf>
      <fill>
        <patternFill>
          <bgColor theme="3" tint="-0.499984740745262"/>
        </patternFill>
      </fill>
    </dxf>
    <dxf>
      <numFmt numFmtId="165" formatCode="_-[$$-409]* #,##0.00_ ;_-[$$-409]* \-#,##0.00\ ;_-[$$-409]* &quot;-&quot;??_ ;_-@_ "/>
    </dxf>
    <dxf>
      <alignment vertical="center" readingOrder="0"/>
    </dxf>
    <dxf>
      <alignment horizontal="general" readingOrder="0"/>
    </dxf>
    <dxf>
      <fill>
        <patternFill patternType="solid">
          <bgColor theme="4" tint="0.79998168889431442"/>
        </patternFill>
      </fill>
    </dxf>
    <dxf>
      <numFmt numFmtId="170" formatCode="[$$-409]\ \ \ \ \ \ \ \ \ \ \ \ \ \ \ #,##0.00"/>
    </dxf>
    <dxf>
      <font>
        <sz val="12"/>
      </font>
    </dxf>
    <dxf>
      <font>
        <b/>
      </font>
    </dxf>
    <dxf>
      <numFmt numFmtId="169" formatCode="[$$-409]\ \ \ \ \ \ \ \ \ \ \ \ \ \ \ \ \ \ \ #,##0.00"/>
    </dxf>
    <dxf>
      <font>
        <color theme="0"/>
      </font>
    </dxf>
    <dxf>
      <fill>
        <patternFill patternType="solid">
          <bgColor theme="3"/>
        </patternFill>
      </fill>
    </dxf>
    <dxf>
      <alignment horizontal="center" readingOrder="0"/>
    </dxf>
    <dxf>
      <alignment vertical="center" readingOrder="0"/>
    </dxf>
    <dxf>
      <border>
        <left style="thin">
          <color theme="4" tint="-0.249977111117893"/>
        </left>
        <right style="thin">
          <color theme="4" tint="-0.249977111117893"/>
        </right>
        <top style="thin">
          <color theme="4" tint="-0.249977111117893"/>
        </top>
        <bottom style="thin">
          <color theme="4" tint="-0.249977111117893"/>
        </bottom>
      </border>
    </dxf>
    <dxf>
      <font>
        <sz val="14"/>
      </font>
    </dxf>
    <dxf>
      <border>
        <bottom style="thin">
          <color theme="4" tint="-0.249977111117893"/>
        </bottom>
      </border>
    </dxf>
    <dxf>
      <fill>
        <patternFill>
          <bgColor theme="0"/>
        </patternFill>
      </fill>
    </dxf>
    <dxf>
      <border>
        <left/>
        <right/>
        <top/>
      </border>
    </dxf>
    <dxf>
      <font>
        <sz val="14"/>
      </font>
    </dxf>
    <dxf>
      <font>
        <sz val="14"/>
      </font>
    </dxf>
    <dxf>
      <font>
        <sz val="12"/>
      </font>
    </dxf>
    <dxf>
      <border>
        <left style="thin">
          <color indexed="64"/>
        </left>
        <right style="thin">
          <color indexed="64"/>
        </right>
        <top style="thin">
          <color indexed="64"/>
        </top>
        <bottom style="thin">
          <color indexed="64"/>
        </bottom>
      </border>
    </dxf>
    <dxf>
      <fill>
        <patternFill>
          <bgColor theme="0"/>
        </patternFill>
      </fill>
    </dxf>
    <dxf>
      <fill>
        <patternFill>
          <bgColor theme="3" tint="-0.499984740745262"/>
        </patternFill>
      </fill>
    </dxf>
    <dxf>
      <fill>
        <patternFill>
          <bgColor theme="0" tint="-4.9989318521683403E-2"/>
        </patternFill>
      </fill>
    </dxf>
    <dxf>
      <border>
        <left/>
        <right/>
        <top/>
      </border>
    </dxf>
    <dxf>
      <fill>
        <patternFill>
          <bgColor theme="0"/>
        </patternFill>
      </fill>
    </dxf>
    <dxf>
      <font>
        <color theme="2" tint="-0.89999084444715716"/>
      </font>
    </dxf>
    <dxf>
      <fill>
        <patternFill>
          <bgColor theme="0" tint="-0.34998626667073579"/>
        </patternFill>
      </fill>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ill>
        <patternFill patternType="solid">
          <bgColor theme="4" tint="0.79998168889431442"/>
        </patternFill>
      </fill>
    </dxf>
    <dxf>
      <font>
        <color theme="3" tint="-0.499984740745262"/>
      </font>
    </dxf>
    <dxf>
      <fill>
        <patternFill>
          <bgColor theme="2"/>
        </patternFill>
      </fill>
    </dxf>
    <dxf>
      <font>
        <color theme="0"/>
      </font>
    </dxf>
    <dxf>
      <fill>
        <patternFill>
          <bgColor theme="3" tint="-0.499984740745262"/>
        </patternFill>
      </fill>
    </dxf>
    <dxf>
      <fill>
        <patternFill>
          <bgColor theme="0"/>
        </patternFill>
      </fill>
    </dxf>
    <dxf>
      <font>
        <color auto="1"/>
      </font>
    </dxf>
    <dxf>
      <fill>
        <patternFill>
          <bgColor theme="4" tint="0.79998168889431442"/>
        </patternFill>
      </fill>
    </dxf>
    <dxf>
      <font>
        <color theme="0"/>
      </font>
    </dxf>
    <dxf>
      <font>
        <color theme="3" tint="-0.499984740745262"/>
      </font>
    </dxf>
    <dxf>
      <fill>
        <patternFill>
          <bgColor theme="0"/>
        </patternFill>
      </fill>
    </dxf>
    <dxf>
      <fill>
        <patternFill>
          <bgColor theme="3" tint="-0.499984740745262"/>
        </patternFill>
      </fill>
    </dxf>
    <dxf>
      <alignment horizontal="center" readingOrder="0"/>
    </dxf>
    <dxf>
      <alignment vertical="center" readingOrder="0"/>
    </dxf>
    <dxf>
      <alignment horizontal="general" readingOrder="0"/>
    </dxf>
    <dxf>
      <fill>
        <patternFill patternType="solid">
          <bgColor theme="4" tint="0.79998168889431442"/>
        </patternFill>
      </fill>
    </dxf>
    <dxf>
      <fill>
        <patternFill>
          <bgColor theme="3" tint="-0.499984740745262"/>
        </patternFill>
      </fill>
    </dxf>
    <dxf>
      <font>
        <sz val="12"/>
      </font>
    </dxf>
    <dxf>
      <font>
        <b/>
      </font>
    </dxf>
    <dxf>
      <numFmt numFmtId="164" formatCode="_-[$$-409]\ \ * #,##0.00_ ;_-[$$-409]* \-#,##0.00\ ;_-[$$-409]* &quot;-&quot;??_ ;_-@_ "/>
    </dxf>
    <dxf>
      <font>
        <sz val="14"/>
      </font>
    </dxf>
    <dxf>
      <font>
        <b/>
      </font>
    </dxf>
    <dxf>
      <alignment vertical="center" readingOrder="0"/>
    </dxf>
    <dxf>
      <alignment vertical="center" readingOrder="0"/>
    </dxf>
    <dxf>
      <font>
        <sz val="11"/>
      </font>
    </dxf>
    <dxf>
      <font>
        <color theme="0"/>
      </font>
    </dxf>
    <dxf>
      <fill>
        <patternFill patternType="solid">
          <bgColor theme="3"/>
        </patternFill>
      </fill>
    </dxf>
    <dxf>
      <font>
        <sz val="11"/>
      </font>
    </dxf>
    <dxf>
      <alignment horizontal="center" readingOrder="0"/>
    </dxf>
    <dxf>
      <alignment horizontal="center" readingOrder="0"/>
    </dxf>
    <dxf>
      <border>
        <left style="thin">
          <color theme="4" tint="-0.249977111117893"/>
        </left>
        <right style="thin">
          <color theme="4" tint="-0.249977111117893"/>
        </right>
        <top style="thin">
          <color theme="4" tint="-0.249977111117893"/>
        </top>
        <bottom style="thin">
          <color theme="4" tint="-0.249977111117893"/>
        </bottom>
      </border>
    </dxf>
    <dxf>
      <font>
        <sz val="14"/>
      </font>
    </dxf>
    <dxf>
      <fill>
        <patternFill>
          <bgColor theme="0"/>
        </patternFill>
      </fill>
    </dxf>
    <dxf>
      <fill>
        <patternFill>
          <bgColor theme="3" tint="-0.499984740745262"/>
        </patternFill>
      </fill>
    </dxf>
    <dxf>
      <fill>
        <patternFill>
          <bgColor theme="0" tint="-4.9989318521683403E-2"/>
        </patternFill>
      </fill>
    </dxf>
    <dxf>
      <border>
        <left/>
        <right/>
        <top/>
      </border>
    </dxf>
    <dxf>
      <font>
        <sz val="16"/>
      </font>
    </dxf>
    <dxf>
      <font>
        <sz val="14"/>
      </font>
    </dxf>
    <dxf>
      <alignment vertical="center" readingOrder="0"/>
    </dxf>
    <dxf>
      <fill>
        <patternFill>
          <bgColor theme="0"/>
        </patternFill>
      </fill>
    </dxf>
    <dxf>
      <font>
        <color theme="2" tint="-0.89999084444715716"/>
      </font>
    </dxf>
    <dxf>
      <fill>
        <patternFill>
          <bgColor theme="0" tint="-0.34998626667073579"/>
        </patternFill>
      </fill>
    </dxf>
    <dxf>
      <fill>
        <patternFill>
          <bgColor theme="3" tint="-0.499984740745262"/>
        </patternFill>
      </fill>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ont>
        <color theme="3" tint="-0.499984740745262"/>
      </font>
    </dxf>
    <dxf>
      <fill>
        <patternFill patternType="solid">
          <bgColor theme="4" tint="0.79998168889431442"/>
        </patternFill>
      </fill>
    </dxf>
    <dxf>
      <fill>
        <patternFill>
          <bgColor theme="3" tint="0.79998168889431442"/>
        </patternFill>
      </fill>
    </dxf>
    <dxf>
      <font>
        <color theme="0"/>
      </font>
    </dxf>
    <dxf>
      <fill>
        <patternFill>
          <bgColor theme="3" tint="-0.499984740745262"/>
        </patternFill>
      </fill>
    </dxf>
    <dxf>
      <alignment horizontal="center" readingOrder="0"/>
    </dxf>
    <dxf>
      <alignment vertical="center" readingOrder="0"/>
    </dxf>
    <dxf>
      <fill>
        <patternFill patternType="solid">
          <bgColor theme="4" tint="0.79998168889431442"/>
        </patternFill>
      </fill>
    </dxf>
    <dxf>
      <font>
        <b/>
      </font>
    </dxf>
    <dxf>
      <alignment horizontal="center" readingOrder="0"/>
    </dxf>
    <dxf>
      <font>
        <sz val="12"/>
      </font>
    </dxf>
    <dxf>
      <font>
        <color theme="0"/>
      </font>
    </dxf>
    <dxf>
      <fill>
        <patternFill patternType="solid">
          <bgColor theme="3" tint="-0.499984740745262"/>
        </patternFill>
      </fill>
    </dxf>
    <dxf>
      <alignment horizontal="center" readingOrder="0"/>
    </dxf>
    <dxf>
      <border>
        <left style="thin">
          <color theme="4" tint="-0.249977111117893"/>
        </left>
        <right style="thin">
          <color theme="4" tint="-0.249977111117893"/>
        </right>
        <top style="thin">
          <color theme="4" tint="-0.249977111117893"/>
        </top>
        <bottom style="thin">
          <color theme="4" tint="-0.249977111117893"/>
        </bottom>
      </border>
    </dxf>
    <dxf>
      <font>
        <sz val="14"/>
      </font>
    </dxf>
    <dxf>
      <border>
        <bottom style="thin">
          <color theme="4" tint="-0.249977111117893"/>
        </bottom>
      </border>
    </dxf>
    <dxf>
      <fill>
        <patternFill>
          <bgColor theme="0"/>
        </patternFill>
      </fill>
    </dxf>
    <dxf>
      <border>
        <left/>
        <right/>
        <top/>
      </border>
    </dxf>
    <dxf>
      <font>
        <sz val="14"/>
      </font>
    </dxf>
    <dxf>
      <alignment vertical="center" readingOrder="0"/>
    </dxf>
    <dxf>
      <fill>
        <patternFill>
          <bgColor theme="0"/>
        </patternFill>
      </fill>
    </dxf>
    <dxf>
      <font>
        <color theme="2" tint="-0.89999084444715716"/>
      </font>
    </dxf>
    <dxf>
      <fill>
        <patternFill>
          <bgColor theme="3" tint="-0.499984740745262"/>
        </patternFill>
      </fill>
    </dxf>
    <dxf>
      <fill>
        <patternFill>
          <bgColor theme="0" tint="-4.9989318521683403E-2"/>
        </patternFill>
      </fill>
    </dxf>
    <dxf>
      <border>
        <right style="thin">
          <color indexed="64"/>
        </right>
      </border>
    </dxf>
    <dxf>
      <border>
        <left style="thin">
          <color indexed="64"/>
        </left>
      </border>
    </dxf>
    <dxf>
      <border>
        <top style="thin">
          <color indexed="64"/>
        </top>
      </border>
    </dxf>
    <dxf>
      <border>
        <bottom style="thin">
          <color indexed="64"/>
        </bottom>
      </border>
    </dxf>
    <dxf>
      <fill>
        <patternFill>
          <bgColor theme="3" tint="0.79998168889431442"/>
        </patternFill>
      </fill>
    </dxf>
    <dxf>
      <fill>
        <patternFill patternType="solid">
          <bgColor theme="4" tint="0.79998168889431442"/>
        </patternFill>
      </fill>
    </dxf>
    <dxf>
      <font>
        <color auto="1"/>
      </font>
    </dxf>
    <dxf>
      <fill>
        <patternFill>
          <bgColor theme="2"/>
        </patternFill>
      </fill>
    </dxf>
    <dxf>
      <font>
        <color theme="0"/>
      </font>
    </dxf>
    <dxf>
      <fill>
        <patternFill>
          <bgColor theme="0"/>
        </patternFill>
      </fill>
    </dxf>
    <dxf>
      <fill>
        <patternFill>
          <bgColor theme="3" tint="0.79998168889431442"/>
        </patternFill>
      </fill>
    </dxf>
    <dxf>
      <font>
        <color theme="0"/>
      </font>
    </dxf>
    <dxf>
      <fill>
        <patternFill>
          <bgColor theme="1" tint="0.499984740745262"/>
        </patternFill>
      </fill>
    </dxf>
    <dxf>
      <fill>
        <patternFill>
          <bgColor theme="3" tint="-0.499984740745262"/>
        </patternFill>
      </fill>
    </dxf>
    <dxf>
      <alignment horizontal="center" readingOrder="0"/>
    </dxf>
    <dxf>
      <alignment vertical="center" readingOrder="0"/>
    </dxf>
    <dxf>
      <fill>
        <patternFill patternType="solid">
          <bgColor theme="4" tint="0.79998168889431442"/>
        </patternFill>
      </fill>
    </dxf>
    <dxf>
      <font>
        <sz val="12"/>
      </font>
    </dxf>
    <dxf>
      <font>
        <b/>
      </font>
    </dxf>
    <dxf>
      <fill>
        <patternFill patternType="solid">
          <bgColor theme="3" tint="-0.499984740745262"/>
        </patternFill>
      </fill>
    </dxf>
    <dxf>
      <font>
        <color theme="0"/>
      </font>
    </dxf>
    <dxf>
      <alignment horizontal="center" readingOrder="0"/>
    </dxf>
    <dxf>
      <alignment horizontal="center" readingOrder="0"/>
    </dxf>
    <dxf>
      <numFmt numFmtId="2" formatCode="0.00"/>
    </dxf>
    <dxf>
      <numFmt numFmtId="2" formatCode="0.00"/>
    </dxf>
    <dxf>
      <numFmt numFmtId="167"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tableStyleElement type="wholeTable" dxfId="173"/>
      <tableStyleElement type="headerRow" dxfId="172"/>
    </tableStyle>
  </tableStyles>
  <colors>
    <mruColors>
      <color rgb="FFE9EFF7"/>
    </mruColors>
  </colors>
  <extLst>
    <ext xmlns:x14="http://schemas.microsoft.com/office/spreadsheetml/2009/9/main" uri="{46F421CA-312F-682f-3DD2-61675219B42D}">
      <x14:dxfs count="8">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000000"/>
          </font>
          <fill>
            <gradientFill degree="27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3"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3" tint="0.59996337778862885"/>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[Shoes_Sales_Anlytics.xlsx]Pivot_Chart_Tables!Totalsold_Brand</c:name>
    <c:fmtId val="5"/>
  </c:pivotSource>
  <c:chart>
    <c:title>
      <c:tx>
        <c:rich>
          <a:bodyPr/>
          <a:lstStyle/>
          <a:p>
            <a:pPr>
              <a:defRPr u="sng"/>
            </a:pPr>
            <a:r>
              <a:rPr lang="en-US" sz="1600" b="1" u="none"/>
              <a:t>Total</a:t>
            </a:r>
            <a:r>
              <a:rPr lang="en-US" sz="1600" b="1" u="none" baseline="0"/>
              <a:t> Sold by Brand</a:t>
            </a:r>
            <a:endParaRPr lang="en-US" sz="1600" b="1" u="none"/>
          </a:p>
        </c:rich>
      </c:tx>
      <c:layout/>
      <c:overlay val="0"/>
    </c:title>
    <c:autoTitleDeleted val="0"/>
    <c:pivotFmts>
      <c:pivotFmt>
        <c:idx val="0"/>
        <c:dLbl>
          <c:idx val="0"/>
          <c:spPr/>
          <c:txPr>
            <a:bodyPr/>
            <a:lstStyle/>
            <a:p>
              <a:pPr>
                <a:defRPr/>
              </a:pPr>
              <a:endParaRPr lang="id-ID"/>
            </a:p>
          </c:txPr>
          <c:showLegendKey val="1"/>
          <c:showVal val="1"/>
          <c:showCatName val="1"/>
          <c:showSerName val="1"/>
          <c:showPercent val="1"/>
          <c:showBubbleSize val="1"/>
        </c:dLbl>
      </c:pivotFmt>
      <c:pivotFmt>
        <c:idx val="1"/>
        <c:dLbl>
          <c:idx val="0"/>
          <c:spPr/>
          <c:txPr>
            <a:bodyPr/>
            <a:lstStyle/>
            <a:p>
              <a:pPr>
                <a:defRPr/>
              </a:pPr>
              <a:endParaRPr lang="id-ID"/>
            </a:p>
          </c:txPr>
          <c:showLegendKey val="1"/>
          <c:showVal val="1"/>
          <c:showCatName val="1"/>
          <c:showSerName val="1"/>
          <c:showPercent val="1"/>
          <c:showBubbleSize val="1"/>
        </c:dLbl>
      </c:pivotFmt>
      <c:pivotFmt>
        <c:idx val="2"/>
        <c:spPr>
          <a:solidFill>
            <a:schemeClr val="tx2">
              <a:lumMod val="50000"/>
            </a:schemeClr>
          </a:solidFill>
        </c:spPr>
        <c:marker>
          <c:symbol val="none"/>
        </c:marker>
        <c:dLbl>
          <c:idx val="0"/>
          <c:layout/>
          <c:spPr/>
          <c:txPr>
            <a:bodyPr/>
            <a:lstStyle/>
            <a:p>
              <a:pPr>
                <a:defRPr/>
              </a:pPr>
              <a:endParaRPr lang="id-ID"/>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Pivot_Chart_Tables!$L$2</c:f>
              <c:strCache>
                <c:ptCount val="1"/>
                <c:pt idx="0">
                  <c:v>Total</c:v>
                </c:pt>
              </c:strCache>
            </c:strRef>
          </c:tx>
          <c:spPr>
            <a:solidFill>
              <a:schemeClr val="tx2">
                <a:lumMod val="50000"/>
              </a:schemeClr>
            </a:solidFill>
          </c:spPr>
          <c:invertIfNegative val="0"/>
          <c:dLbls>
            <c:spPr/>
            <c:txPr>
              <a:bodyPr/>
              <a:lstStyle/>
              <a:p>
                <a:pPr>
                  <a:defRPr/>
                </a:pPr>
                <a:endParaRPr lang="id-ID"/>
              </a:p>
            </c:txPr>
            <c:dLblPos val="outEnd"/>
            <c:showLegendKey val="0"/>
            <c:showVal val="1"/>
            <c:showCatName val="0"/>
            <c:showSerName val="0"/>
            <c:showPercent val="0"/>
            <c:showBubbleSize val="0"/>
            <c:showLeaderLines val="0"/>
          </c:dLbls>
          <c:cat>
            <c:strRef>
              <c:f>Pivot_Chart_Tables!$K$3:$K$7</c:f>
              <c:strCache>
                <c:ptCount val="4"/>
                <c:pt idx="0">
                  <c:v>Adidas</c:v>
                </c:pt>
                <c:pt idx="1">
                  <c:v>Skechers</c:v>
                </c:pt>
                <c:pt idx="2">
                  <c:v>Reebok</c:v>
                </c:pt>
                <c:pt idx="3">
                  <c:v>Nike</c:v>
                </c:pt>
              </c:strCache>
            </c:strRef>
          </c:cat>
          <c:val>
            <c:numRef>
              <c:f>Pivot_Chart_Tables!$L$3:$L$7</c:f>
              <c:numCache>
                <c:formatCode>0</c:formatCode>
                <c:ptCount val="4"/>
                <c:pt idx="0">
                  <c:v>22</c:v>
                </c:pt>
                <c:pt idx="1">
                  <c:v>14</c:v>
                </c:pt>
                <c:pt idx="2">
                  <c:v>10</c:v>
                </c:pt>
                <c:pt idx="3">
                  <c:v>9</c:v>
                </c:pt>
              </c:numCache>
            </c:numRef>
          </c:val>
        </c:ser>
        <c:dLbls>
          <c:dLblPos val="outEnd"/>
          <c:showLegendKey val="0"/>
          <c:showVal val="1"/>
          <c:showCatName val="0"/>
          <c:showSerName val="0"/>
          <c:showPercent val="0"/>
          <c:showBubbleSize val="0"/>
        </c:dLbls>
        <c:gapWidth val="150"/>
        <c:axId val="256013824"/>
        <c:axId val="256020864"/>
      </c:barChart>
      <c:catAx>
        <c:axId val="256013824"/>
        <c:scaling>
          <c:orientation val="minMax"/>
        </c:scaling>
        <c:delete val="0"/>
        <c:axPos val="b"/>
        <c:majorTickMark val="out"/>
        <c:minorTickMark val="none"/>
        <c:tickLblPos val="nextTo"/>
        <c:txPr>
          <a:bodyPr/>
          <a:lstStyle/>
          <a:p>
            <a:pPr>
              <a:defRPr sz="1200" b="0"/>
            </a:pPr>
            <a:endParaRPr lang="id-ID"/>
          </a:p>
        </c:txPr>
        <c:crossAx val="256020864"/>
        <c:crosses val="autoZero"/>
        <c:auto val="1"/>
        <c:lblAlgn val="ctr"/>
        <c:lblOffset val="100"/>
        <c:noMultiLvlLbl val="0"/>
      </c:catAx>
      <c:valAx>
        <c:axId val="256020864"/>
        <c:scaling>
          <c:orientation val="minMax"/>
        </c:scaling>
        <c:delete val="0"/>
        <c:axPos val="l"/>
        <c:numFmt formatCode="0" sourceLinked="1"/>
        <c:majorTickMark val="out"/>
        <c:minorTickMark val="none"/>
        <c:tickLblPos val="nextTo"/>
        <c:crossAx val="256013824"/>
        <c:crosses val="autoZero"/>
        <c:crossBetween val="between"/>
      </c:valAx>
      <c:spPr>
        <a:noFill/>
      </c:spPr>
    </c:plotArea>
    <c:plotVisOnly val="1"/>
    <c:dispBlanksAs val="gap"/>
    <c:showDLblsOverMax val="0"/>
  </c:chart>
  <c:spPr>
    <a:noFill/>
    <a:ln>
      <a:solidFill>
        <a:schemeClr val="tx1"/>
      </a:solid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[Shoes_Sales_Anlytics.xlsx]Pivot_Chart_Tables!Totalsold_shoestype</c:name>
    <c:fmtId val="9"/>
  </c:pivotSource>
  <c:chart>
    <c:title>
      <c:tx>
        <c:rich>
          <a:bodyPr/>
          <a:lstStyle/>
          <a:p>
            <a:pPr>
              <a:defRPr u="sng"/>
            </a:pPr>
            <a:r>
              <a:rPr lang="en-US" sz="1600" u="none"/>
              <a:t>Total</a:t>
            </a:r>
            <a:r>
              <a:rPr lang="en-US" sz="1600" u="none" baseline="0"/>
              <a:t> Sold by Type of Shoes</a:t>
            </a:r>
            <a:endParaRPr lang="en-US" sz="1600" u="none"/>
          </a:p>
        </c:rich>
      </c:tx>
      <c:layout/>
      <c:overlay val="0"/>
    </c:title>
    <c:autoTitleDeleted val="0"/>
    <c:pivotFmts>
      <c:pivotFmt>
        <c:idx val="0"/>
        <c:marker>
          <c:symbol val="none"/>
        </c:marker>
      </c:pivotFmt>
      <c:pivotFmt>
        <c:idx val="1"/>
        <c:marker>
          <c:symbol val="none"/>
        </c:marker>
      </c:pivotFmt>
      <c:pivotFmt>
        <c:idx val="2"/>
        <c:spPr>
          <a:solidFill>
            <a:schemeClr val="tx2">
              <a:lumMod val="50000"/>
            </a:schemeClr>
          </a:solidFill>
        </c:spPr>
        <c:marker>
          <c:symbol val="none"/>
        </c:marker>
        <c:dLbl>
          <c:idx val="0"/>
          <c:layout/>
          <c:spPr/>
          <c:txPr>
            <a:bodyPr/>
            <a:lstStyle/>
            <a:p>
              <a:pPr>
                <a:defRPr/>
              </a:pPr>
              <a:endParaRPr lang="id-ID"/>
            </a:p>
          </c:txPr>
          <c:dLblPos val="outEnd"/>
          <c:showLegendKey val="0"/>
          <c:showVal val="1"/>
          <c:showCatName val="0"/>
          <c:showSerName val="0"/>
          <c:showPercent val="0"/>
          <c:showBubbleSize val="0"/>
        </c:dLbl>
      </c:pivotFmt>
    </c:pivotFmts>
    <c:plotArea>
      <c:layout>
        <c:manualLayout>
          <c:layoutTarget val="inner"/>
          <c:xMode val="edge"/>
          <c:yMode val="edge"/>
          <c:x val="0.10077864311740072"/>
          <c:y val="0.15106955380577428"/>
          <c:w val="0.88287966496585479"/>
          <c:h val="0.66662481401525253"/>
        </c:manualLayout>
      </c:layout>
      <c:barChart>
        <c:barDir val="col"/>
        <c:grouping val="clustered"/>
        <c:varyColors val="0"/>
        <c:ser>
          <c:idx val="0"/>
          <c:order val="0"/>
          <c:tx>
            <c:strRef>
              <c:f>Pivot_Chart_Tables!$I$2</c:f>
              <c:strCache>
                <c:ptCount val="1"/>
                <c:pt idx="0">
                  <c:v>Total</c:v>
                </c:pt>
              </c:strCache>
            </c:strRef>
          </c:tx>
          <c:spPr>
            <a:solidFill>
              <a:schemeClr val="tx2">
                <a:lumMod val="50000"/>
              </a:schemeClr>
            </a:solidFill>
          </c:spPr>
          <c:invertIfNegative val="0"/>
          <c:dLbls>
            <c:spPr/>
            <c:txPr>
              <a:bodyPr/>
              <a:lstStyle/>
              <a:p>
                <a:pPr>
                  <a:defRPr/>
                </a:pPr>
                <a:endParaRPr lang="id-ID"/>
              </a:p>
            </c:txPr>
            <c:dLblPos val="outEnd"/>
            <c:showLegendKey val="0"/>
            <c:showVal val="1"/>
            <c:showCatName val="0"/>
            <c:showSerName val="0"/>
            <c:showPercent val="0"/>
            <c:showBubbleSize val="0"/>
            <c:showLeaderLines val="0"/>
          </c:dLbls>
          <c:cat>
            <c:strRef>
              <c:f>Pivot_Chart_Tables!$H$3:$H$7</c:f>
              <c:strCache>
                <c:ptCount val="4"/>
                <c:pt idx="0">
                  <c:v>Casual</c:v>
                </c:pt>
                <c:pt idx="1">
                  <c:v>Running</c:v>
                </c:pt>
                <c:pt idx="2">
                  <c:v>Sneakers</c:v>
                </c:pt>
                <c:pt idx="3">
                  <c:v>Formal</c:v>
                </c:pt>
              </c:strCache>
            </c:strRef>
          </c:cat>
          <c:val>
            <c:numRef>
              <c:f>Pivot_Chart_Tables!$I$3:$I$7</c:f>
              <c:numCache>
                <c:formatCode>0</c:formatCode>
                <c:ptCount val="4"/>
                <c:pt idx="0">
                  <c:v>33</c:v>
                </c:pt>
                <c:pt idx="1">
                  <c:v>15</c:v>
                </c:pt>
                <c:pt idx="2">
                  <c:v>4</c:v>
                </c:pt>
                <c:pt idx="3">
                  <c:v>3</c:v>
                </c:pt>
              </c:numCache>
            </c:numRef>
          </c:val>
        </c:ser>
        <c:dLbls>
          <c:dLblPos val="outEnd"/>
          <c:showLegendKey val="0"/>
          <c:showVal val="1"/>
          <c:showCatName val="0"/>
          <c:showSerName val="0"/>
          <c:showPercent val="0"/>
          <c:showBubbleSize val="0"/>
        </c:dLbls>
        <c:gapWidth val="150"/>
        <c:axId val="256204800"/>
        <c:axId val="256207488"/>
      </c:barChart>
      <c:catAx>
        <c:axId val="256204800"/>
        <c:scaling>
          <c:orientation val="minMax"/>
        </c:scaling>
        <c:delete val="0"/>
        <c:axPos val="b"/>
        <c:majorTickMark val="out"/>
        <c:minorTickMark val="none"/>
        <c:tickLblPos val="nextTo"/>
        <c:txPr>
          <a:bodyPr/>
          <a:lstStyle/>
          <a:p>
            <a:pPr>
              <a:defRPr sz="1200"/>
            </a:pPr>
            <a:endParaRPr lang="id-ID"/>
          </a:p>
        </c:txPr>
        <c:crossAx val="256207488"/>
        <c:crosses val="autoZero"/>
        <c:auto val="1"/>
        <c:lblAlgn val="ctr"/>
        <c:lblOffset val="100"/>
        <c:noMultiLvlLbl val="0"/>
      </c:catAx>
      <c:valAx>
        <c:axId val="256207488"/>
        <c:scaling>
          <c:orientation val="minMax"/>
        </c:scaling>
        <c:delete val="0"/>
        <c:axPos val="l"/>
        <c:numFmt formatCode="0" sourceLinked="1"/>
        <c:majorTickMark val="out"/>
        <c:minorTickMark val="none"/>
        <c:tickLblPos val="nextTo"/>
        <c:crossAx val="256204800"/>
        <c:crosses val="autoZero"/>
        <c:crossBetween val="between"/>
      </c:valAx>
      <c:spPr>
        <a:noFill/>
      </c:spPr>
    </c:plotArea>
    <c:plotVisOnly val="1"/>
    <c:dispBlanksAs val="gap"/>
    <c:showDLblsOverMax val="0"/>
  </c:chart>
  <c:spPr>
    <a:noFill/>
    <a:ln>
      <a:solidFill>
        <a:schemeClr val="tx1"/>
      </a:solid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[Shoes_Sales_Anlytics.xlsx]Pivot_Top_Chart_Tables!Top Country</c:name>
    <c:fmtId val="6"/>
  </c:pivotSource>
  <c:chart>
    <c:title>
      <c:tx>
        <c:rich>
          <a:bodyPr/>
          <a:lstStyle/>
          <a:p>
            <a:pPr>
              <a:defRPr/>
            </a:pPr>
            <a:r>
              <a:rPr lang="en-US" sz="1800"/>
              <a:t>TOP</a:t>
            </a:r>
            <a:r>
              <a:rPr lang="en-US" sz="1800" baseline="0"/>
              <a:t> Country </a:t>
            </a:r>
            <a:endParaRPr lang="en-US" sz="1800"/>
          </a:p>
        </c:rich>
      </c:tx>
      <c:layout>
        <c:manualLayout>
          <c:xMode val="edge"/>
          <c:yMode val="edge"/>
          <c:x val="0.37006562974465057"/>
          <c:y val="6.0905615601391343E-2"/>
        </c:manualLayout>
      </c:layout>
      <c:overlay val="0"/>
    </c:title>
    <c:autoTitleDeleted val="0"/>
    <c:pivotFmts>
      <c:pivotFmt>
        <c:idx val="0"/>
        <c:marker>
          <c:symbol val="none"/>
        </c:marker>
      </c:pivotFmt>
      <c:pivotFmt>
        <c:idx val="1"/>
        <c:marker>
          <c:symbol val="none"/>
        </c:marker>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114163682604733"/>
          <c:y val="0.21764774140074597"/>
          <c:w val="0.73285460986668371"/>
          <c:h val="0.65407313293038027"/>
        </c:manualLayout>
      </c:layout>
      <c:barChart>
        <c:barDir val="bar"/>
        <c:grouping val="clustered"/>
        <c:varyColors val="0"/>
        <c:ser>
          <c:idx val="0"/>
          <c:order val="0"/>
          <c:tx>
            <c:strRef>
              <c:f>Pivot_Top_Chart_Tables!$E$3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Pivot_Top_Chart_Tables!$D$4:$D$7</c:f>
              <c:strCache>
                <c:ptCount val="3"/>
                <c:pt idx="0">
                  <c:v>UK</c:v>
                </c:pt>
                <c:pt idx="1">
                  <c:v>USA</c:v>
                </c:pt>
                <c:pt idx="2">
                  <c:v>India</c:v>
                </c:pt>
              </c:strCache>
            </c:strRef>
          </c:cat>
          <c:val>
            <c:numRef>
              <c:f>Pivot_Top_Chart_Tables!$E$4:$E$7</c:f>
              <c:numCache>
                <c:formatCode>[$$-409]#,\K</c:formatCode>
                <c:ptCount val="3"/>
                <c:pt idx="0">
                  <c:v>11334.24</c:v>
                </c:pt>
                <c:pt idx="1">
                  <c:v>12562.74</c:v>
                </c:pt>
                <c:pt idx="2">
                  <c:v>13509.68</c:v>
                </c:pt>
              </c:numCache>
            </c:numRef>
          </c:val>
        </c:ser>
        <c:dLbls>
          <c:showLegendKey val="0"/>
          <c:showVal val="0"/>
          <c:showCatName val="0"/>
          <c:showSerName val="0"/>
          <c:showPercent val="0"/>
          <c:showBubbleSize val="0"/>
        </c:dLbls>
        <c:gapWidth val="150"/>
        <c:axId val="256224640"/>
        <c:axId val="256238720"/>
      </c:barChart>
      <c:catAx>
        <c:axId val="256224640"/>
        <c:scaling>
          <c:orientation val="minMax"/>
        </c:scaling>
        <c:delete val="0"/>
        <c:axPos val="l"/>
        <c:majorTickMark val="out"/>
        <c:minorTickMark val="none"/>
        <c:tickLblPos val="nextTo"/>
        <c:txPr>
          <a:bodyPr/>
          <a:lstStyle/>
          <a:p>
            <a:pPr>
              <a:defRPr sz="1400" b="1"/>
            </a:pPr>
            <a:endParaRPr lang="id-ID"/>
          </a:p>
        </c:txPr>
        <c:crossAx val="256238720"/>
        <c:crosses val="autoZero"/>
        <c:auto val="1"/>
        <c:lblAlgn val="ctr"/>
        <c:lblOffset val="100"/>
        <c:noMultiLvlLbl val="0"/>
      </c:catAx>
      <c:valAx>
        <c:axId val="256238720"/>
        <c:scaling>
          <c:orientation val="minMax"/>
        </c:scaling>
        <c:delete val="0"/>
        <c:axPos val="b"/>
        <c:numFmt formatCode="[$$-409]#,\K" sourceLinked="1"/>
        <c:majorTickMark val="out"/>
        <c:minorTickMark val="none"/>
        <c:tickLblPos val="nextTo"/>
        <c:txPr>
          <a:bodyPr/>
          <a:lstStyle/>
          <a:p>
            <a:pPr>
              <a:defRPr sz="900"/>
            </a:pPr>
            <a:endParaRPr lang="id-ID"/>
          </a:p>
        </c:txPr>
        <c:crossAx val="256224640"/>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[Shoes_Sales_Anlytics.xlsx]Pivot_Top_Chart_Tables!Top Brand</c:name>
    <c:fmtId val="2"/>
  </c:pivotSource>
  <c:chart>
    <c:title>
      <c:tx>
        <c:rich>
          <a:bodyPr/>
          <a:lstStyle/>
          <a:p>
            <a:pPr>
              <a:defRPr/>
            </a:pPr>
            <a:r>
              <a:rPr lang="en-US" sz="1800"/>
              <a:t>TOP</a:t>
            </a:r>
            <a:r>
              <a:rPr lang="en-US" sz="1800" baseline="0"/>
              <a:t> Brand </a:t>
            </a:r>
            <a:endParaRPr lang="en-US" sz="1800"/>
          </a:p>
        </c:rich>
      </c:tx>
      <c:layout>
        <c:manualLayout>
          <c:xMode val="edge"/>
          <c:yMode val="edge"/>
          <c:x val="0.3870340775765394"/>
          <c:y val="5.6434500674477917E-2"/>
        </c:manualLayout>
      </c:layout>
      <c:overlay val="0"/>
      <c:spPr>
        <a:noFill/>
      </c:spPr>
    </c:title>
    <c:autoTitleDeleted val="0"/>
    <c:pivotFmts>
      <c:pivotFmt>
        <c:idx val="0"/>
        <c:dLbl>
          <c:idx val="0"/>
          <c:spPr/>
          <c:txPr>
            <a:bodyPr/>
            <a:lstStyle/>
            <a:p>
              <a:pPr>
                <a:defRPr/>
              </a:pPr>
              <a:endParaRPr lang="id-ID"/>
            </a:p>
          </c:txPr>
          <c:showLegendKey val="1"/>
          <c:showVal val="1"/>
          <c:showCatName val="1"/>
          <c:showSerName val="1"/>
          <c:showPercent val="1"/>
          <c:showBubbleSize val="1"/>
        </c:dLbl>
      </c:pivotFmt>
      <c:pivotFmt>
        <c:idx val="1"/>
        <c:dLbl>
          <c:idx val="0"/>
          <c:spPr/>
          <c:txPr>
            <a:bodyPr/>
            <a:lstStyle/>
            <a:p>
              <a:pPr>
                <a:defRPr/>
              </a:pPr>
              <a:endParaRPr lang="id-ID"/>
            </a:p>
          </c:txPr>
          <c:showLegendKey val="1"/>
          <c:showVal val="1"/>
          <c:showCatName val="1"/>
          <c:showSerName val="1"/>
          <c:showPercent val="1"/>
          <c:showBubbleSize val="1"/>
        </c:dLbl>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0620572623640579"/>
          <c:y val="0.21330993373049226"/>
          <c:w val="0.72971930776141158"/>
          <c:h val="0.6421333511661913"/>
        </c:manualLayout>
      </c:layout>
      <c:barChart>
        <c:barDir val="bar"/>
        <c:grouping val="clustered"/>
        <c:varyColors val="0"/>
        <c:ser>
          <c:idx val="0"/>
          <c:order val="0"/>
          <c:tx>
            <c:strRef>
              <c:f>Pivot_Top_Chart_Tables!$B$3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Pivot_Top_Chart_Tables!$A$4:$A$7</c:f>
              <c:strCache>
                <c:ptCount val="3"/>
                <c:pt idx="0">
                  <c:v>Skechers</c:v>
                </c:pt>
                <c:pt idx="1">
                  <c:v>Reebok</c:v>
                </c:pt>
                <c:pt idx="2">
                  <c:v>Adidas</c:v>
                </c:pt>
              </c:strCache>
            </c:strRef>
          </c:cat>
          <c:val>
            <c:numRef>
              <c:f>Pivot_Top_Chart_Tables!$B$4:$B$7</c:f>
              <c:numCache>
                <c:formatCode>[$$-409]#,\K</c:formatCode>
                <c:ptCount val="3"/>
                <c:pt idx="0">
                  <c:v>957.04</c:v>
                </c:pt>
                <c:pt idx="1">
                  <c:v>1509</c:v>
                </c:pt>
                <c:pt idx="2">
                  <c:v>1838.9499999999998</c:v>
                </c:pt>
              </c:numCache>
            </c:numRef>
          </c:val>
        </c:ser>
        <c:dLbls>
          <c:showLegendKey val="0"/>
          <c:showVal val="0"/>
          <c:showCatName val="0"/>
          <c:showSerName val="0"/>
          <c:showPercent val="0"/>
          <c:showBubbleSize val="0"/>
        </c:dLbls>
        <c:gapWidth val="150"/>
        <c:axId val="256338560"/>
        <c:axId val="256352640"/>
      </c:barChart>
      <c:catAx>
        <c:axId val="256338560"/>
        <c:scaling>
          <c:orientation val="minMax"/>
        </c:scaling>
        <c:delete val="0"/>
        <c:axPos val="l"/>
        <c:majorTickMark val="out"/>
        <c:minorTickMark val="none"/>
        <c:tickLblPos val="nextTo"/>
        <c:txPr>
          <a:bodyPr/>
          <a:lstStyle/>
          <a:p>
            <a:pPr>
              <a:defRPr sz="1400" b="1"/>
            </a:pPr>
            <a:endParaRPr lang="id-ID"/>
          </a:p>
        </c:txPr>
        <c:crossAx val="256352640"/>
        <c:crosses val="autoZero"/>
        <c:auto val="1"/>
        <c:lblAlgn val="ctr"/>
        <c:lblOffset val="100"/>
        <c:noMultiLvlLbl val="0"/>
      </c:catAx>
      <c:valAx>
        <c:axId val="256352640"/>
        <c:scaling>
          <c:orientation val="minMax"/>
        </c:scaling>
        <c:delete val="0"/>
        <c:axPos val="b"/>
        <c:numFmt formatCode="[$$-409]#,\K" sourceLinked="1"/>
        <c:majorTickMark val="out"/>
        <c:minorTickMark val="none"/>
        <c:tickLblPos val="nextTo"/>
        <c:txPr>
          <a:bodyPr/>
          <a:lstStyle/>
          <a:p>
            <a:pPr>
              <a:defRPr sz="900"/>
            </a:pPr>
            <a:endParaRPr lang="id-ID"/>
          </a:p>
        </c:txPr>
        <c:crossAx val="256338560"/>
        <c:crosses val="autoZero"/>
        <c:crossBetween val="between"/>
      </c:valAx>
      <c:spPr>
        <a:noFill/>
        <a:effectLst>
          <a:glow>
            <a:schemeClr val="accent1">
              <a:alpha val="40000"/>
            </a:schemeClr>
          </a:glow>
          <a:outerShdw dist="50800" dir="5400000" sx="1000" sy="1000" algn="ctr" rotWithShape="0">
            <a:srgbClr val="000000"/>
          </a:outerShdw>
        </a:effectLst>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[Shoes_Sales_Anlytics.xlsx]Pivot_Top_Chart_Tables!Top Channel</c:name>
    <c:fmtId val="18"/>
  </c:pivotSource>
  <c:chart>
    <c:title>
      <c:tx>
        <c:rich>
          <a:bodyPr/>
          <a:lstStyle/>
          <a:p>
            <a:pPr>
              <a:defRPr/>
            </a:pPr>
            <a:r>
              <a:rPr lang="en-US" sz="1800"/>
              <a:t>TOP</a:t>
            </a:r>
            <a:r>
              <a:rPr lang="en-US" sz="1800" baseline="0"/>
              <a:t> Channel</a:t>
            </a:r>
            <a:endParaRPr lang="en-US" sz="1800"/>
          </a:p>
        </c:rich>
      </c:tx>
      <c:layout>
        <c:manualLayout>
          <c:xMode val="edge"/>
          <c:yMode val="edge"/>
          <c:x val="0.36477052273978339"/>
          <c:y val="5.6224905220180803E-2"/>
        </c:manualLayout>
      </c:layout>
      <c:overlay val="0"/>
    </c:title>
    <c:autoTitleDeleted val="0"/>
    <c:pivotFmts>
      <c:pivotFmt>
        <c:idx val="0"/>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id-ID"/>
            </a:p>
          </c:txPr>
          <c:dLblPos val="outEnd"/>
          <c:showLegendKey val="0"/>
          <c:showVal val="1"/>
          <c:showCatName val="0"/>
          <c:showSerName val="0"/>
          <c:showPercent val="0"/>
          <c:showBubbleSize val="0"/>
        </c:dLbl>
      </c:pivotFmt>
      <c:pivotFmt>
        <c:idx val="2"/>
        <c:spPr>
          <a:solidFill>
            <a:schemeClr val="tx2">
              <a:lumMod val="50000"/>
            </a:schemeClr>
          </a:solidFill>
        </c:spPr>
        <c:marker>
          <c:symbol val="none"/>
        </c:marker>
        <c:dLbl>
          <c:idx val="0"/>
          <c:layout/>
          <c:spPr/>
          <c:txPr>
            <a:bodyPr/>
            <a:lstStyle/>
            <a:p>
              <a:pPr>
                <a:defRPr sz="1100"/>
              </a:pPr>
              <a:endParaRPr lang="id-ID"/>
            </a:p>
          </c:txPr>
          <c:dLblPos val="outEnd"/>
          <c:showLegendKey val="0"/>
          <c:showVal val="1"/>
          <c:showCatName val="0"/>
          <c:showSerName val="0"/>
          <c:showPercent val="0"/>
          <c:showBubbleSize val="0"/>
        </c:dLbl>
      </c:pivotFmt>
      <c:pivotFmt>
        <c:idx val="3"/>
      </c:pivotFmt>
      <c:pivotFmt>
        <c:idx val="4"/>
      </c:pivotFmt>
    </c:pivotFmts>
    <c:plotArea>
      <c:layout>
        <c:manualLayout>
          <c:layoutTarget val="inner"/>
          <c:xMode val="edge"/>
          <c:yMode val="edge"/>
          <c:x val="0.21589236454992389"/>
          <c:y val="0.21567663175762858"/>
          <c:w val="0.72040681639850035"/>
          <c:h val="0.67134565452788375"/>
        </c:manualLayout>
      </c:layout>
      <c:barChart>
        <c:barDir val="bar"/>
        <c:grouping val="clustered"/>
        <c:varyColors val="0"/>
        <c:ser>
          <c:idx val="0"/>
          <c:order val="0"/>
          <c:tx>
            <c:strRef>
              <c:f>Pivot_Top_Chart_Tables!$H$3</c:f>
              <c:strCache>
                <c:ptCount val="1"/>
                <c:pt idx="0">
                  <c:v>Total</c:v>
                </c:pt>
              </c:strCache>
            </c:strRef>
          </c:tx>
          <c:spPr>
            <a:solidFill>
              <a:schemeClr val="tx2">
                <a:lumMod val="50000"/>
              </a:schemeClr>
            </a:solidFill>
          </c:spPr>
          <c:invertIfNegative val="0"/>
          <c:dLbls>
            <c:spPr/>
            <c:txPr>
              <a:bodyPr/>
              <a:lstStyle/>
              <a:p>
                <a:pPr>
                  <a:defRPr sz="1100"/>
                </a:pPr>
                <a:endParaRPr lang="id-ID"/>
              </a:p>
            </c:txPr>
            <c:dLblPos val="outEnd"/>
            <c:showLegendKey val="0"/>
            <c:showVal val="1"/>
            <c:showCatName val="0"/>
            <c:showSerName val="0"/>
            <c:showPercent val="0"/>
            <c:showBubbleSize val="0"/>
            <c:showLeaderLines val="0"/>
          </c:dLbls>
          <c:cat>
            <c:strRef>
              <c:f>Pivot_Top_Chart_Tables!$G$4:$G$7</c:f>
              <c:strCache>
                <c:ptCount val="3"/>
                <c:pt idx="0">
                  <c:v>Mall</c:v>
                </c:pt>
                <c:pt idx="1">
                  <c:v>Online</c:v>
                </c:pt>
                <c:pt idx="2">
                  <c:v>Retail Store</c:v>
                </c:pt>
              </c:strCache>
            </c:strRef>
          </c:cat>
          <c:val>
            <c:numRef>
              <c:f>Pivot_Top_Chart_Tables!$H$4:$H$7</c:f>
              <c:numCache>
                <c:formatCode>[$$-409]#,\K</c:formatCode>
                <c:ptCount val="3"/>
                <c:pt idx="0">
                  <c:v>914.31</c:v>
                </c:pt>
                <c:pt idx="1">
                  <c:v>1509</c:v>
                </c:pt>
                <c:pt idx="2">
                  <c:v>2795.99</c:v>
                </c:pt>
              </c:numCache>
            </c:numRef>
          </c:val>
        </c:ser>
        <c:dLbls>
          <c:dLblPos val="outEnd"/>
          <c:showLegendKey val="0"/>
          <c:showVal val="1"/>
          <c:showCatName val="0"/>
          <c:showSerName val="0"/>
          <c:showPercent val="0"/>
          <c:showBubbleSize val="0"/>
        </c:dLbls>
        <c:gapWidth val="150"/>
        <c:axId val="256400768"/>
        <c:axId val="256398080"/>
      </c:barChart>
      <c:valAx>
        <c:axId val="256398080"/>
        <c:scaling>
          <c:orientation val="minMax"/>
        </c:scaling>
        <c:delete val="0"/>
        <c:axPos val="b"/>
        <c:numFmt formatCode="[$$-409]#,\K" sourceLinked="1"/>
        <c:majorTickMark val="out"/>
        <c:minorTickMark val="none"/>
        <c:tickLblPos val="nextTo"/>
        <c:txPr>
          <a:bodyPr/>
          <a:lstStyle/>
          <a:p>
            <a:pPr>
              <a:defRPr sz="900"/>
            </a:pPr>
            <a:endParaRPr lang="id-ID"/>
          </a:p>
        </c:txPr>
        <c:crossAx val="256400768"/>
        <c:crosses val="autoZero"/>
        <c:crossBetween val="between"/>
      </c:valAx>
      <c:catAx>
        <c:axId val="256400768"/>
        <c:scaling>
          <c:orientation val="minMax"/>
        </c:scaling>
        <c:delete val="0"/>
        <c:axPos val="l"/>
        <c:majorTickMark val="out"/>
        <c:minorTickMark val="none"/>
        <c:tickLblPos val="nextTo"/>
        <c:txPr>
          <a:bodyPr/>
          <a:lstStyle/>
          <a:p>
            <a:pPr>
              <a:defRPr sz="1400" b="1"/>
            </a:pPr>
            <a:endParaRPr lang="id-ID"/>
          </a:p>
        </c:txPr>
        <c:crossAx val="256398080"/>
        <c:crosses val="autoZero"/>
        <c:auto val="1"/>
        <c:lblAlgn val="ctr"/>
        <c:lblOffset val="100"/>
        <c:noMultiLvlLbl val="0"/>
      </c:cat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[Shoes_Sales_Anlytics.xlsx]Pivot_Chart_Tables!Monthly Growth</c:name>
    <c:fmtId val="5"/>
  </c:pivotSource>
  <c:chart>
    <c:title>
      <c:tx>
        <c:rich>
          <a:bodyPr/>
          <a:lstStyle/>
          <a:p>
            <a:pPr>
              <a:defRPr u="sng"/>
            </a:pPr>
            <a:r>
              <a:rPr lang="en-US" sz="1600" b="1" i="0" u="none" strike="noStrike" baseline="0"/>
              <a:t>Monthly Growth Revenue </a:t>
            </a:r>
            <a:r>
              <a:rPr lang="id-ID" sz="1600" b="1" i="0" u="none" strike="noStrike" baseline="0"/>
              <a:t>(2025</a:t>
            </a:r>
            <a:r>
              <a:rPr lang="en-US" sz="1600" b="1" i="0" u="none" strike="noStrike" baseline="0"/>
              <a:t>)</a:t>
            </a:r>
            <a:endParaRPr lang="en-US" sz="1200" u="none"/>
          </a:p>
        </c:rich>
      </c:tx>
      <c:layout>
        <c:manualLayout>
          <c:xMode val="edge"/>
          <c:yMode val="edge"/>
          <c:x val="0.2674364167781505"/>
          <c:y val="4.898604914625581E-2"/>
        </c:manualLayout>
      </c:layout>
      <c:overlay val="1"/>
    </c:title>
    <c:autoTitleDeleted val="0"/>
    <c:pivotFmts>
      <c:pivotFmt>
        <c:idx val="0"/>
      </c:pivotFmt>
      <c:pivotFmt>
        <c:idx val="1"/>
      </c:pivotFmt>
      <c:pivotFmt>
        <c:idx val="2"/>
        <c:spPr>
          <a:ln w="38100">
            <a:solidFill>
              <a:schemeClr val="tx2">
                <a:lumMod val="50000"/>
              </a:schemeClr>
            </a:solidFill>
          </a:ln>
        </c:spPr>
        <c:marker>
          <c:spPr>
            <a:solidFill>
              <a:schemeClr val="bg1"/>
            </a:solidFill>
            <a:ln w="38100">
              <a:solidFill>
                <a:schemeClr val="tx2">
                  <a:lumMod val="50000"/>
                </a:schemeClr>
              </a:solidFill>
            </a:ln>
          </c:spPr>
        </c:marker>
      </c:pivotFmt>
      <c:pivotFmt>
        <c:idx val="3"/>
        <c:dLbl>
          <c:idx val="0"/>
          <c:layout>
            <c:manualLayout>
              <c:x val="-8.0973581573331371E-2"/>
              <c:y val="5.3427694007884545E-2"/>
            </c:manualLayout>
          </c:layout>
          <c:dLblPos val="r"/>
          <c:showLegendKey val="0"/>
          <c:showVal val="1"/>
          <c:showCatName val="0"/>
          <c:showSerName val="0"/>
          <c:showPercent val="0"/>
          <c:showBubbleSize val="0"/>
        </c:dLbl>
      </c:pivotFmt>
      <c:pivotFmt>
        <c:idx val="4"/>
        <c:dLbl>
          <c:idx val="0"/>
          <c:layout>
            <c:manualLayout>
              <c:x val="-8.0973581573331371E-2"/>
              <c:y val="3.7233362024078877E-2"/>
            </c:manualLayout>
          </c:layout>
          <c:dLblPos val="r"/>
          <c:showLegendKey val="0"/>
          <c:showVal val="1"/>
          <c:showCatName val="0"/>
          <c:showSerName val="0"/>
          <c:showPercent val="0"/>
          <c:showBubbleSize val="0"/>
        </c:dLbl>
      </c:pivotFmt>
    </c:pivotFmts>
    <c:plotArea>
      <c:layout>
        <c:manualLayout>
          <c:layoutTarget val="inner"/>
          <c:xMode val="edge"/>
          <c:yMode val="edge"/>
          <c:x val="0.17374097706792904"/>
          <c:y val="0.21371510379384395"/>
          <c:w val="0.75678048421517408"/>
          <c:h val="0.69195132426628503"/>
        </c:manualLayout>
      </c:layout>
      <c:lineChart>
        <c:grouping val="standard"/>
        <c:varyColors val="0"/>
        <c:ser>
          <c:idx val="0"/>
          <c:order val="0"/>
          <c:tx>
            <c:strRef>
              <c:f>Pivot_Chart_Tables!$F$2</c:f>
              <c:strCache>
                <c:ptCount val="1"/>
                <c:pt idx="0">
                  <c:v>Total</c:v>
                </c:pt>
              </c:strCache>
            </c:strRef>
          </c:tx>
          <c:spPr>
            <a:ln w="38100">
              <a:solidFill>
                <a:schemeClr val="tx2">
                  <a:lumMod val="50000"/>
                </a:schemeClr>
              </a:solidFill>
            </a:ln>
          </c:spPr>
          <c:marker>
            <c:spPr>
              <a:solidFill>
                <a:schemeClr val="bg1"/>
              </a:solidFill>
              <a:ln w="38100">
                <a:solidFill>
                  <a:schemeClr val="tx2">
                    <a:lumMod val="50000"/>
                  </a:schemeClr>
                </a:solidFill>
              </a:ln>
            </c:spPr>
          </c:marker>
          <c:cat>
            <c:strRef>
              <c:f>Pivot_Chart_Tables!$E$3:$E$15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Pivot_Chart_Tables!$F$3:$F$15</c:f>
              <c:numCache>
                <c:formatCode>0.00%</c:formatCode>
                <c:ptCount val="12"/>
                <c:pt idx="1">
                  <c:v>-0.6068176745507301</c:v>
                </c:pt>
                <c:pt idx="2">
                  <c:v>-0.1021702183291936</c:v>
                </c:pt>
                <c:pt idx="3">
                  <c:v>0.62040503515797141</c:v>
                </c:pt>
                <c:pt idx="4">
                  <c:v>0.60439166739581307</c:v>
                </c:pt>
                <c:pt idx="5">
                  <c:v>1.6212013457194519E-2</c:v>
                </c:pt>
                <c:pt idx="6">
                  <c:v>-0.54116744373928949</c:v>
                </c:pt>
                <c:pt idx="7">
                  <c:v>-0.31852861078489786</c:v>
                </c:pt>
                <c:pt idx="8">
                  <c:v>1.1929426608589968</c:v>
                </c:pt>
                <c:pt idx="9">
                  <c:v>-8.6824270012776372E-2</c:v>
                </c:pt>
                <c:pt idx="10">
                  <c:v>0.66800941390125612</c:v>
                </c:pt>
                <c:pt idx="11">
                  <c:v>-0.54992549469991647</c:v>
                </c:pt>
              </c:numCache>
            </c:numRef>
          </c:val>
          <c:smooth val="0"/>
        </c:ser>
        <c:dLbls>
          <c:showLegendKey val="0"/>
          <c:showVal val="0"/>
          <c:showCatName val="0"/>
          <c:showSerName val="0"/>
          <c:showPercent val="0"/>
          <c:showBubbleSize val="0"/>
        </c:dLbls>
        <c:marker val="1"/>
        <c:smooth val="0"/>
        <c:axId val="256429440"/>
        <c:axId val="256718336"/>
      </c:lineChart>
      <c:catAx>
        <c:axId val="256429440"/>
        <c:scaling>
          <c:orientation val="minMax"/>
        </c:scaling>
        <c:delete val="0"/>
        <c:axPos val="b"/>
        <c:majorTickMark val="out"/>
        <c:minorTickMark val="none"/>
        <c:tickLblPos val="nextTo"/>
        <c:crossAx val="256718336"/>
        <c:crosses val="autoZero"/>
        <c:auto val="1"/>
        <c:lblAlgn val="ctr"/>
        <c:lblOffset val="100"/>
        <c:noMultiLvlLbl val="0"/>
      </c:catAx>
      <c:valAx>
        <c:axId val="256718336"/>
        <c:scaling>
          <c:orientation val="minMax"/>
        </c:scaling>
        <c:delete val="0"/>
        <c:axPos val="l"/>
        <c:numFmt formatCode="0.00%" sourceLinked="1"/>
        <c:majorTickMark val="out"/>
        <c:minorTickMark val="none"/>
        <c:tickLblPos val="nextTo"/>
        <c:crossAx val="256429440"/>
        <c:crosses val="autoZero"/>
        <c:crossBetween val="between"/>
      </c:valAx>
      <c:spPr>
        <a:noFill/>
      </c:spPr>
    </c:plotArea>
    <c:plotVisOnly val="1"/>
    <c:dispBlanksAs val="gap"/>
    <c:showDLblsOverMax val="0"/>
  </c:chart>
  <c:spPr>
    <a:solidFill>
      <a:schemeClr val="bg1">
        <a:alpha val="82000"/>
      </a:schemeClr>
    </a:solidFill>
    <a:ln>
      <a:solidFill>
        <a:schemeClr val="bg1"/>
      </a:solid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[Shoes_Sales_Anlytics.xlsx]Pivot_Chart_Tables!Monthly Revenue</c:name>
    <c:fmtId val="7"/>
  </c:pivotSource>
  <c:chart>
    <c:title>
      <c:tx>
        <c:rich>
          <a:bodyPr/>
          <a:lstStyle/>
          <a:p>
            <a:pPr algn="l">
              <a:defRPr u="sng"/>
            </a:pPr>
            <a:r>
              <a:rPr lang="id-ID" sz="1600" b="1" i="0" u="none" strike="noStrike" baseline="0"/>
              <a:t>2025 Monthly Revenue Trend</a:t>
            </a:r>
            <a:endParaRPr lang="en-US" sz="1200" u="none"/>
          </a:p>
        </c:rich>
      </c:tx>
      <c:layout>
        <c:manualLayout>
          <c:xMode val="edge"/>
          <c:yMode val="edge"/>
          <c:x val="0.28380666087429901"/>
          <c:y val="3.4981477650148904E-2"/>
        </c:manualLayout>
      </c:layout>
      <c:overlay val="0"/>
    </c:title>
    <c:autoTitleDeleted val="0"/>
    <c:pivotFmts>
      <c:pivotFmt>
        <c:idx val="0"/>
      </c:pivotFmt>
      <c:pivotFmt>
        <c:idx val="1"/>
        <c:dLbl>
          <c:idx val="0"/>
          <c:showLegendKey val="1"/>
          <c:showVal val="1"/>
          <c:showCatName val="1"/>
          <c:showSerName val="1"/>
          <c:showPercent val="1"/>
          <c:showBubbleSize val="1"/>
        </c:dLbl>
      </c:pivotFmt>
      <c:pivotFmt>
        <c:idx val="2"/>
        <c:marker>
          <c:spPr>
            <a:solidFill>
              <a:schemeClr val="tx2">
                <a:lumMod val="50000"/>
              </a:schemeClr>
            </a:solidFill>
          </c:spPr>
        </c:marker>
        <c:dLbl>
          <c:idx val="0"/>
          <c:dLblPos val="b"/>
          <c:showLegendKey val="0"/>
          <c:showVal val="1"/>
          <c:showCatName val="0"/>
          <c:showSerName val="0"/>
          <c:showPercent val="0"/>
          <c:showBubbleSize val="0"/>
        </c:dLbl>
      </c:pivotFmt>
      <c:pivotFmt>
        <c:idx val="3"/>
      </c:pivotFmt>
      <c:pivotFmt>
        <c:idx val="4"/>
      </c:pivotFmt>
      <c:pivotFmt>
        <c:idx val="5"/>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6"/>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7"/>
        <c:marker>
          <c:spPr>
            <a:solidFill>
              <a:schemeClr val="tx2">
                <a:lumMod val="50000"/>
              </a:schemeClr>
            </a:solidFill>
          </c:spPr>
        </c:marker>
        <c:dLbl>
          <c:idx val="0"/>
          <c:spPr/>
          <c:txPr>
            <a:bodyPr/>
            <a:lstStyle/>
            <a:p>
              <a:pPr>
                <a:defRPr/>
              </a:pPr>
              <a:endParaRPr lang="id-ID"/>
            </a:p>
          </c:txPr>
          <c:dLblPos val="b"/>
          <c:showLegendKey val="0"/>
          <c:showVal val="1"/>
          <c:showCatName val="0"/>
          <c:showSerName val="0"/>
          <c:showPercent val="0"/>
          <c:showBubbleSize val="0"/>
        </c:dLbl>
      </c:pivotFmt>
      <c:pivotFmt>
        <c:idx val="8"/>
        <c:spPr>
          <a:ln w="38100">
            <a:solidFill>
              <a:schemeClr val="tx2">
                <a:lumMod val="50000"/>
              </a:schemeClr>
            </a:solidFill>
          </a:ln>
        </c:spPr>
        <c:marker>
          <c:spPr>
            <a:solidFill>
              <a:schemeClr val="bg1"/>
            </a:solidFill>
            <a:ln w="38100">
              <a:solidFill>
                <a:schemeClr val="tx2">
                  <a:lumMod val="50000"/>
                </a:schemeClr>
              </a:solidFill>
            </a:ln>
          </c:spPr>
        </c:marker>
      </c:pivotFmt>
    </c:pivotFmts>
    <c:plotArea>
      <c:layout>
        <c:manualLayout>
          <c:layoutTarget val="inner"/>
          <c:xMode val="edge"/>
          <c:yMode val="edge"/>
          <c:x val="0.11720901259869322"/>
          <c:y val="0.21982870225123316"/>
          <c:w val="0.81812334236986128"/>
          <c:h val="0.64989575616965178"/>
        </c:manualLayout>
      </c:layout>
      <c:lineChart>
        <c:grouping val="standard"/>
        <c:varyColors val="0"/>
        <c:ser>
          <c:idx val="0"/>
          <c:order val="0"/>
          <c:tx>
            <c:strRef>
              <c:f>Pivot_Chart_Tables!$C$2</c:f>
              <c:strCache>
                <c:ptCount val="1"/>
                <c:pt idx="0">
                  <c:v>Total</c:v>
                </c:pt>
              </c:strCache>
            </c:strRef>
          </c:tx>
          <c:spPr>
            <a:ln w="38100">
              <a:solidFill>
                <a:schemeClr val="tx2">
                  <a:lumMod val="50000"/>
                </a:schemeClr>
              </a:solidFill>
            </a:ln>
          </c:spPr>
          <c:marker>
            <c:spPr>
              <a:solidFill>
                <a:schemeClr val="bg1"/>
              </a:solidFill>
              <a:ln w="38100">
                <a:solidFill>
                  <a:schemeClr val="tx2">
                    <a:lumMod val="50000"/>
                  </a:schemeClr>
                </a:solidFill>
              </a:ln>
            </c:spPr>
          </c:marker>
          <c:cat>
            <c:strRef>
              <c:f>Pivot_Chart_Tables!$B$3:$B$15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Pivot_Chart_Tables!$C$3:$C$15</c:f>
              <c:numCache>
                <c:formatCode>[$$-409]#,\K</c:formatCode>
                <c:ptCount val="12"/>
                <c:pt idx="0">
                  <c:v>14785.1</c:v>
                </c:pt>
                <c:pt idx="1">
                  <c:v>5813.2400000000007</c:v>
                </c:pt>
                <c:pt idx="2">
                  <c:v>5219.2999999999993</c:v>
                </c:pt>
                <c:pt idx="3">
                  <c:v>8457.3799999999992</c:v>
                </c:pt>
                <c:pt idx="4">
                  <c:v>13568.95</c:v>
                </c:pt>
                <c:pt idx="5">
                  <c:v>13788.93</c:v>
                </c:pt>
                <c:pt idx="6">
                  <c:v>6326.8099999999995</c:v>
                </c:pt>
                <c:pt idx="7">
                  <c:v>4311.54</c:v>
                </c:pt>
                <c:pt idx="8">
                  <c:v>9454.9599999999991</c:v>
                </c:pt>
                <c:pt idx="9">
                  <c:v>8634.0399999999991</c:v>
                </c:pt>
                <c:pt idx="10">
                  <c:v>14401.66</c:v>
                </c:pt>
                <c:pt idx="11">
                  <c:v>6481.8200000000006</c:v>
                </c:pt>
              </c:numCache>
            </c:numRef>
          </c:val>
          <c:smooth val="0"/>
        </c:ser>
        <c:dLbls>
          <c:showLegendKey val="0"/>
          <c:showVal val="0"/>
          <c:showCatName val="0"/>
          <c:showSerName val="0"/>
          <c:showPercent val="0"/>
          <c:showBubbleSize val="0"/>
        </c:dLbls>
        <c:upDownBars>
          <c:gapWidth val="150"/>
          <c:upBars/>
          <c:downBars/>
        </c:upDownBars>
        <c:marker val="1"/>
        <c:smooth val="0"/>
        <c:axId val="256775680"/>
        <c:axId val="256777216"/>
      </c:lineChart>
      <c:catAx>
        <c:axId val="256775680"/>
        <c:scaling>
          <c:orientation val="minMax"/>
        </c:scaling>
        <c:delete val="0"/>
        <c:axPos val="b"/>
        <c:majorTickMark val="out"/>
        <c:minorTickMark val="none"/>
        <c:tickLblPos val="nextTo"/>
        <c:txPr>
          <a:bodyPr/>
          <a:lstStyle/>
          <a:p>
            <a:pPr>
              <a:defRPr b="0"/>
            </a:pPr>
            <a:endParaRPr lang="id-ID"/>
          </a:p>
        </c:txPr>
        <c:crossAx val="256777216"/>
        <c:crosses val="autoZero"/>
        <c:auto val="1"/>
        <c:lblAlgn val="ctr"/>
        <c:lblOffset val="100"/>
        <c:noMultiLvlLbl val="0"/>
      </c:catAx>
      <c:valAx>
        <c:axId val="256777216"/>
        <c:scaling>
          <c:orientation val="minMax"/>
        </c:scaling>
        <c:delete val="0"/>
        <c:axPos val="l"/>
        <c:numFmt formatCode="[$$-409]#,\K" sourceLinked="1"/>
        <c:majorTickMark val="out"/>
        <c:minorTickMark val="none"/>
        <c:tickLblPos val="nextTo"/>
        <c:txPr>
          <a:bodyPr/>
          <a:lstStyle/>
          <a:p>
            <a:pPr>
              <a:defRPr b="0">
                <a:latin typeface="+mn-lt"/>
              </a:defRPr>
            </a:pPr>
            <a:endParaRPr lang="id-ID"/>
          </a:p>
        </c:txPr>
        <c:crossAx val="256775680"/>
        <c:crosses val="autoZero"/>
        <c:crossBetween val="between"/>
      </c:valAx>
      <c:spPr>
        <a:noFill/>
      </c:spPr>
    </c:plotArea>
    <c:plotVisOnly val="1"/>
    <c:dispBlanksAs val="gap"/>
    <c:showDLblsOverMax val="0"/>
  </c:chart>
  <c:spPr>
    <a:solidFill>
      <a:schemeClr val="bg1">
        <a:alpha val="82000"/>
      </a:schemeClr>
    </a:solidFill>
    <a:ln>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27"/>
    </mc:Choice>
    <mc:Fallback>
      <c:style val="27"/>
    </mc:Fallback>
  </mc:AlternateContent>
  <c:pivotSource>
    <c:name>[Shoes_Sales_Anlytics.xlsx]Pivot_Contribution_Tabels!Brand Contribution</c:name>
    <c:fmtId val="5"/>
  </c:pivotSource>
  <c:chart>
    <c:title>
      <c:tx>
        <c:rich>
          <a:bodyPr/>
          <a:lstStyle/>
          <a:p>
            <a:pPr>
              <a:defRPr/>
            </a:pPr>
            <a:r>
              <a:rPr lang="en-US"/>
              <a:t>Brand Revenue Contribution</a:t>
            </a:r>
          </a:p>
        </c:rich>
      </c:tx>
      <c:layout/>
      <c:overlay val="0"/>
    </c:title>
    <c:autoTitleDeleted val="0"/>
    <c:pivotFmts>
      <c:pivotFmt>
        <c:idx val="0"/>
      </c:pivotFmt>
      <c:pivotFmt>
        <c:idx val="1"/>
      </c:pivotFmt>
      <c:pivotFmt>
        <c:idx val="2"/>
        <c:marker>
          <c:symbol val="none"/>
        </c:marker>
        <c:dLbl>
          <c:idx val="0"/>
          <c:layout/>
          <c:showLegendKey val="0"/>
          <c:showVal val="0"/>
          <c:showCatName val="0"/>
          <c:showSerName val="0"/>
          <c:showPercent val="1"/>
          <c:showBubbleSize val="0"/>
        </c:dLbl>
      </c:pivotFmt>
    </c:pivotFmts>
    <c:plotArea>
      <c:layout>
        <c:manualLayout>
          <c:layoutTarget val="inner"/>
          <c:xMode val="edge"/>
          <c:yMode val="edge"/>
          <c:x val="9.0810823896820742E-2"/>
          <c:y val="0.19560716168085476"/>
          <c:w val="0.49929418315408497"/>
          <c:h val="0.65880500231588701"/>
        </c:manualLayout>
      </c:layout>
      <c:doughnutChart>
        <c:varyColors val="1"/>
        <c:ser>
          <c:idx val="0"/>
          <c:order val="0"/>
          <c:tx>
            <c:strRef>
              <c:f>Pivot_Contribution_Tabels!$F$2</c:f>
              <c:strCache>
                <c:ptCount val="1"/>
                <c:pt idx="0">
                  <c:v>Total</c:v>
                </c:pt>
              </c:strCache>
            </c:strRef>
          </c:tx>
          <c:dLbls>
            <c:spPr/>
            <c:txPr>
              <a:bodyPr/>
              <a:lstStyle/>
              <a:p>
                <a:pPr>
                  <a:defRPr/>
                </a:pPr>
                <a:endParaRPr lang="id-ID"/>
              </a:p>
            </c:txPr>
            <c:showLegendKey val="0"/>
            <c:showVal val="0"/>
            <c:showCatName val="0"/>
            <c:showSerName val="0"/>
            <c:showPercent val="1"/>
            <c:showBubbleSize val="0"/>
            <c:showLeaderLines val="1"/>
          </c:dLbls>
          <c:cat>
            <c:strRef>
              <c:f>Pivot_Contribution_Tabels!$E$3:$E$7</c:f>
              <c:strCache>
                <c:ptCount val="4"/>
                <c:pt idx="0">
                  <c:v>Adidas</c:v>
                </c:pt>
                <c:pt idx="1">
                  <c:v>Reebok</c:v>
                </c:pt>
                <c:pt idx="2">
                  <c:v>Skechers</c:v>
                </c:pt>
                <c:pt idx="3">
                  <c:v>Nike</c:v>
                </c:pt>
              </c:strCache>
            </c:strRef>
          </c:cat>
          <c:val>
            <c:numRef>
              <c:f>Pivot_Contribution_Tabels!$F$3:$F$7</c:f>
              <c:numCache>
                <c:formatCode>0.00%</c:formatCode>
                <c:ptCount val="4"/>
                <c:pt idx="0">
                  <c:v>0.35233652022301837</c:v>
                </c:pt>
                <c:pt idx="1">
                  <c:v>0.2891192305481578</c:v>
                </c:pt>
                <c:pt idx="2">
                  <c:v>0.18336558542333262</c:v>
                </c:pt>
                <c:pt idx="3">
                  <c:v>0.17517866380549113</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6383949951461552"/>
          <c:y val="0.28784472549427303"/>
          <c:w val="0.25428656553066004"/>
          <c:h val="0.49907204804267619"/>
        </c:manualLayout>
      </c:layout>
      <c:overlay val="0"/>
      <c:txPr>
        <a:bodyPr/>
        <a:lstStyle/>
        <a:p>
          <a:pPr>
            <a:defRPr sz="1200" b="0"/>
          </a:pPr>
          <a:endParaRPr lang="id-ID"/>
        </a:p>
      </c:txPr>
    </c:legend>
    <c:plotVisOnly val="1"/>
    <c:dispBlanksAs val="gap"/>
    <c:showDLblsOverMax val="0"/>
  </c:chart>
  <c:spPr>
    <a:solidFill>
      <a:schemeClr val="bg1">
        <a:alpha val="82000"/>
      </a:schemeClr>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id-ID"/>
  <c:roundedCorners val="0"/>
  <mc:AlternateContent xmlns:mc="http://schemas.openxmlformats.org/markup-compatibility/2006">
    <mc:Choice xmlns:c14="http://schemas.microsoft.com/office/drawing/2007/8/2/chart" Requires="c14">
      <c14:style val="127"/>
    </mc:Choice>
    <mc:Fallback>
      <c:style val="27"/>
    </mc:Fallback>
  </mc:AlternateContent>
  <c:pivotSource>
    <c:name>[Shoes_Sales_Anlytics.xlsx]Pivot_Contribution_Tabels!Channel Contribution</c:name>
    <c:fmtId val="22"/>
  </c:pivotSource>
  <c:chart>
    <c:title>
      <c:tx>
        <c:rich>
          <a:bodyPr/>
          <a:lstStyle/>
          <a:p>
            <a:pPr>
              <a:defRPr/>
            </a:pPr>
            <a:r>
              <a:rPr lang="en-US" sz="1600"/>
              <a:t>Channel Revenue Contribution</a:t>
            </a:r>
          </a:p>
        </c:rich>
      </c:tx>
      <c:layout/>
      <c:overlay val="0"/>
    </c:title>
    <c:autoTitleDeleted val="0"/>
    <c:pivotFmts>
      <c:pivotFmt>
        <c:idx val="0"/>
      </c:pivotFmt>
      <c:pivotFmt>
        <c:idx val="1"/>
      </c:pivotFmt>
      <c:pivotFmt>
        <c:idx val="2"/>
        <c:marker>
          <c:symbol val="none"/>
        </c:marker>
        <c:dLbl>
          <c:idx val="0"/>
          <c:layout/>
          <c:numFmt formatCode="0.00%" sourceLinked="0"/>
          <c:spPr/>
          <c:txPr>
            <a:bodyPr/>
            <a:lstStyle/>
            <a:p>
              <a:pPr>
                <a:defRPr sz="1400"/>
              </a:pPr>
              <a:endParaRPr lang="id-ID"/>
            </a:p>
          </c:txPr>
          <c:showLegendKey val="0"/>
          <c:showVal val="0"/>
          <c:showCatName val="0"/>
          <c:showSerName val="0"/>
          <c:showPercent val="1"/>
          <c:showBubbleSize val="0"/>
        </c:dLbl>
      </c:pivotFmt>
    </c:pivotFmts>
    <c:plotArea>
      <c:layout>
        <c:manualLayout>
          <c:layoutTarget val="inner"/>
          <c:xMode val="edge"/>
          <c:yMode val="edge"/>
          <c:x val="0.10029062276306371"/>
          <c:y val="0.19449563547042395"/>
          <c:w val="0.53830327358178442"/>
          <c:h val="0.64229325615846244"/>
        </c:manualLayout>
      </c:layout>
      <c:doughnutChart>
        <c:varyColors val="1"/>
        <c:ser>
          <c:idx val="0"/>
          <c:order val="0"/>
          <c:tx>
            <c:strRef>
              <c:f>Pivot_Contribution_Tabels!$C$2</c:f>
              <c:strCache>
                <c:ptCount val="1"/>
                <c:pt idx="0">
                  <c:v>Total</c:v>
                </c:pt>
              </c:strCache>
            </c:strRef>
          </c:tx>
          <c:dLbls>
            <c:numFmt formatCode="0.00%" sourceLinked="0"/>
            <c:spPr/>
            <c:txPr>
              <a:bodyPr/>
              <a:lstStyle/>
              <a:p>
                <a:pPr>
                  <a:defRPr sz="1400"/>
                </a:pPr>
                <a:endParaRPr lang="id-ID"/>
              </a:p>
            </c:txPr>
            <c:showLegendKey val="0"/>
            <c:showVal val="0"/>
            <c:showCatName val="0"/>
            <c:showSerName val="0"/>
            <c:showPercent val="1"/>
            <c:showBubbleSize val="0"/>
            <c:showLeaderLines val="1"/>
          </c:dLbls>
          <c:cat>
            <c:strRef>
              <c:f>Pivot_Contribution_Tabels!$B$3:$B$6</c:f>
              <c:strCache>
                <c:ptCount val="3"/>
                <c:pt idx="0">
                  <c:v>Mall</c:v>
                </c:pt>
                <c:pt idx="1">
                  <c:v>Online</c:v>
                </c:pt>
                <c:pt idx="2">
                  <c:v>Retail Store</c:v>
                </c:pt>
              </c:strCache>
            </c:strRef>
          </c:cat>
          <c:val>
            <c:numRef>
              <c:f>Pivot_Contribution_Tabels!$C$3:$C$6</c:f>
              <c:numCache>
                <c:formatCode>0.00%</c:formatCode>
                <c:ptCount val="3"/>
                <c:pt idx="0">
                  <c:v>0.17517866380549116</c:v>
                </c:pt>
                <c:pt idx="1">
                  <c:v>0.28911923054815786</c:v>
                </c:pt>
                <c:pt idx="2">
                  <c:v>0.53570210564635112</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8081689334287765"/>
          <c:y val="0.34878262391459414"/>
          <c:w val="0.26746972083035075"/>
          <c:h val="0.42504816569500153"/>
        </c:manualLayout>
      </c:layout>
      <c:overlay val="0"/>
      <c:txPr>
        <a:bodyPr/>
        <a:lstStyle/>
        <a:p>
          <a:pPr>
            <a:defRPr sz="1400"/>
          </a:pPr>
          <a:endParaRPr lang="id-ID"/>
        </a:p>
      </c:txPr>
    </c:legend>
    <c:plotVisOnly val="1"/>
    <c:dispBlanksAs val="gap"/>
    <c:showDLblsOverMax val="0"/>
  </c:chart>
  <c:spPr>
    <a:solidFill>
      <a:schemeClr val="bg1">
        <a:alpha val="82000"/>
      </a:schemeClr>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wmf"/><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23813</xdr:colOff>
      <xdr:row>0</xdr:row>
      <xdr:rowOff>1</xdr:rowOff>
    </xdr:from>
    <xdr:to>
      <xdr:col>9</xdr:col>
      <xdr:colOff>174625</xdr:colOff>
      <xdr:row>4</xdr:row>
      <xdr:rowOff>63500</xdr:rowOff>
    </xdr:to>
    <xdr:grpSp>
      <xdr:nvGrpSpPr>
        <xdr:cNvPr id="16" name="Group 15"/>
        <xdr:cNvGrpSpPr/>
      </xdr:nvGrpSpPr>
      <xdr:grpSpPr>
        <a:xfrm>
          <a:off x="23813" y="1"/>
          <a:ext cx="5199062" cy="1263649"/>
          <a:chOff x="595312" y="220462"/>
          <a:chExt cx="3337024" cy="910631"/>
        </a:xfrm>
        <a:solidFill>
          <a:schemeClr val="tx2">
            <a:lumMod val="50000"/>
          </a:schemeClr>
        </a:solidFill>
        <a:effectLst>
          <a:outerShdw blurRad="63500" sx="102000" sy="102000" algn="ctr" rotWithShape="0">
            <a:prstClr val="black">
              <a:alpha val="40000"/>
            </a:prstClr>
          </a:outerShdw>
        </a:effectLst>
      </xdr:grpSpPr>
      <xdr:sp macro="" textlink="">
        <xdr:nvSpPr>
          <xdr:cNvPr id="4" name="Rectangle 3"/>
          <xdr:cNvSpPr/>
        </xdr:nvSpPr>
        <xdr:spPr>
          <a:xfrm>
            <a:off x="595312" y="220462"/>
            <a:ext cx="3337024" cy="91063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 name="Rectangle 1"/>
          <xdr:cNvSpPr/>
        </xdr:nvSpPr>
        <xdr:spPr>
          <a:xfrm>
            <a:off x="1503018" y="238123"/>
            <a:ext cx="2387945" cy="857251"/>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id-ID" sz="2000" b="1">
                <a:latin typeface="+mj-lt"/>
              </a:rPr>
              <a:t>A</a:t>
            </a:r>
            <a:r>
              <a:rPr lang="en-US" sz="2000" b="1">
                <a:latin typeface="+mj-lt"/>
              </a:rPr>
              <a:t>NNUAL</a:t>
            </a:r>
            <a:r>
              <a:rPr lang="id-ID" sz="2000" b="1">
                <a:latin typeface="+mj-lt"/>
              </a:rPr>
              <a:t> S</a:t>
            </a:r>
            <a:r>
              <a:rPr lang="en-US" sz="2000" b="1">
                <a:latin typeface="+mj-lt"/>
              </a:rPr>
              <a:t>HOES</a:t>
            </a:r>
            <a:r>
              <a:rPr lang="id-ID" sz="2000" b="1">
                <a:latin typeface="+mj-lt"/>
              </a:rPr>
              <a:t> S</a:t>
            </a:r>
            <a:r>
              <a:rPr lang="en-US" sz="2000" b="1">
                <a:latin typeface="+mj-lt"/>
              </a:rPr>
              <a:t>ALES</a:t>
            </a:r>
            <a:r>
              <a:rPr lang="id-ID" sz="2000" b="1">
                <a:latin typeface="+mj-lt"/>
              </a:rPr>
              <a:t> P</a:t>
            </a:r>
            <a:r>
              <a:rPr lang="en-US" sz="2000" b="1">
                <a:latin typeface="+mj-lt"/>
              </a:rPr>
              <a:t>ERFORMANCE</a:t>
            </a:r>
            <a:r>
              <a:rPr lang="id-ID" sz="2000" b="1">
                <a:latin typeface="+mj-lt"/>
              </a:rPr>
              <a:t> D</a:t>
            </a:r>
            <a:r>
              <a:rPr lang="en-US" sz="2000" b="1">
                <a:latin typeface="+mj-lt"/>
              </a:rPr>
              <a:t>ASHBOARD</a:t>
            </a:r>
            <a:r>
              <a:rPr lang="id-ID" sz="2000" b="1">
                <a:latin typeface="+mj-lt"/>
              </a:rPr>
              <a:t> 2025</a:t>
            </a:r>
            <a:endParaRPr lang="id-ID" sz="2000" b="1" i="0">
              <a:solidFill>
                <a:schemeClr val="bg1"/>
              </a:solidFill>
              <a:latin typeface="+mj-lt"/>
            </a:endParaRPr>
          </a:p>
        </xdr:txBody>
      </xdr:sp>
      <xdr:pic>
        <xdr:nvPicPr>
          <xdr:cNvPr id="3" name="Picture 2" descr="C:\Program Files (x86)\Microsoft Office\MEDIA\CAGCAT10\j0222015.wmf"/>
          <xdr:cNvPicPr>
            <a:picLocks noChangeAspect="1" noChangeArrowheads="1"/>
          </xdr:cNvPicPr>
        </xdr:nvPicPr>
        <xdr:blipFill>
          <a:blip xmlns:r="http://schemas.openxmlformats.org/officeDocument/2006/relationships" r:embed="rId1" cstate="print">
            <a:biLevel thresh="50000"/>
            <a:extLst>
              <a:ext uri="{28A0092B-C50C-407E-A947-70E740481C1C}">
                <a14:useLocalDpi xmlns:a14="http://schemas.microsoft.com/office/drawing/2010/main" val="0"/>
              </a:ext>
            </a:extLst>
          </a:blip>
          <a:srcRect/>
          <a:stretch>
            <a:fillRect/>
          </a:stretch>
        </xdr:blipFill>
        <xdr:spPr bwMode="auto">
          <a:xfrm>
            <a:off x="705544" y="306668"/>
            <a:ext cx="691455" cy="733516"/>
          </a:xfrm>
          <a:prstGeom prst="rect">
            <a:avLst/>
          </a:prstGeom>
          <a:grpFill/>
          <a:extLst/>
        </xdr:spPr>
      </xdr:pic>
    </xdr:grpSp>
    <xdr:clientData/>
  </xdr:twoCellAnchor>
  <xdr:twoCellAnchor>
    <xdr:from>
      <xdr:col>6</xdr:col>
      <xdr:colOff>317499</xdr:colOff>
      <xdr:row>31</xdr:row>
      <xdr:rowOff>188119</xdr:rowOff>
    </xdr:from>
    <xdr:to>
      <xdr:col>11</xdr:col>
      <xdr:colOff>476249</xdr:colOff>
      <xdr:row>43</xdr:row>
      <xdr:rowOff>762000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112891</xdr:colOff>
      <xdr:row>31</xdr:row>
      <xdr:rowOff>172133</xdr:rowOff>
    </xdr:from>
    <xdr:to>
      <xdr:col>16</xdr:col>
      <xdr:colOff>317500</xdr:colOff>
      <xdr:row>43</xdr:row>
      <xdr:rowOff>730250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660407</xdr:colOff>
      <xdr:row>4</xdr:row>
      <xdr:rowOff>15876</xdr:rowOff>
    </xdr:from>
    <xdr:to>
      <xdr:col>19</xdr:col>
      <xdr:colOff>206375</xdr:colOff>
      <xdr:row>15</xdr:row>
      <xdr:rowOff>127000</xdr:rowOff>
    </xdr:to>
    <xdr:grpSp>
      <xdr:nvGrpSpPr>
        <xdr:cNvPr id="5" name="Group 4"/>
        <xdr:cNvGrpSpPr/>
      </xdr:nvGrpSpPr>
      <xdr:grpSpPr>
        <a:xfrm>
          <a:off x="3441707" y="1216026"/>
          <a:ext cx="12538068" cy="2492374"/>
          <a:chOff x="4438640" y="1190626"/>
          <a:chExt cx="13074625" cy="2127249"/>
        </a:xfrm>
      </xdr:grpSpPr>
      <xdr:graphicFrame macro="">
        <xdr:nvGraphicFramePr>
          <xdr:cNvPr id="10" name="Top_Country"/>
          <xdr:cNvGraphicFramePr>
            <a:graphicFrameLocks/>
          </xdr:cNvGraphicFramePr>
        </xdr:nvGraphicFramePr>
        <xdr:xfrm>
          <a:off x="4438640" y="1219006"/>
          <a:ext cx="4297504" cy="209007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Top_Brand"/>
          <xdr:cNvGraphicFramePr>
            <a:graphicFrameLocks/>
          </xdr:cNvGraphicFramePr>
        </xdr:nvGraphicFramePr>
        <xdr:xfrm>
          <a:off x="8875201" y="1206501"/>
          <a:ext cx="4211429" cy="211137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2" name="Chart 11"/>
          <xdr:cNvGraphicFramePr>
            <a:graphicFrameLocks/>
          </xdr:cNvGraphicFramePr>
        </xdr:nvGraphicFramePr>
        <xdr:xfrm>
          <a:off x="13523665" y="1190626"/>
          <a:ext cx="3989600" cy="207962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241751</xdr:colOff>
      <xdr:row>4</xdr:row>
      <xdr:rowOff>148701</xdr:rowOff>
    </xdr:from>
    <xdr:to>
      <xdr:col>6</xdr:col>
      <xdr:colOff>152400</xdr:colOff>
      <xdr:row>43</xdr:row>
      <xdr:rowOff>933450</xdr:rowOff>
    </xdr:to>
    <xdr:grpSp>
      <xdr:nvGrpSpPr>
        <xdr:cNvPr id="6" name="Group 5"/>
        <xdr:cNvGrpSpPr/>
      </xdr:nvGrpSpPr>
      <xdr:grpSpPr>
        <a:xfrm>
          <a:off x="241751" y="1348851"/>
          <a:ext cx="2691949" cy="8499999"/>
          <a:chOff x="241751" y="1348851"/>
          <a:chExt cx="2456999" cy="8499999"/>
        </a:xfrm>
      </xdr:grpSpPr>
      <mc:AlternateContent xmlns:mc="http://schemas.openxmlformats.org/markup-compatibility/2006">
        <mc:Choice xmlns:a14="http://schemas.microsoft.com/office/drawing/2010/main" Requires="a14">
          <xdr:graphicFrame macro="">
            <xdr:nvGraphicFramePr>
              <xdr:cNvPr id="18" name="Country"/>
              <xdr:cNvGraphicFramePr/>
            </xdr:nvGraphicFramePr>
            <xdr:xfrm>
              <a:off x="250032" y="1348851"/>
              <a:ext cx="2448718" cy="2603119"/>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50824" y="1348851"/>
                <a:ext cx="2682876" cy="2603119"/>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Month"/>
              <xdr:cNvGraphicFramePr/>
            </xdr:nvGraphicFramePr>
            <xdr:xfrm>
              <a:off x="259517" y="4137196"/>
              <a:ext cx="2423358" cy="1974602"/>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61216" y="4137196"/>
                <a:ext cx="2655091" cy="1974602"/>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Brand"/>
              <xdr:cNvGraphicFramePr/>
            </xdr:nvGraphicFramePr>
            <xdr:xfrm>
              <a:off x="241751" y="7684502"/>
              <a:ext cx="2441124" cy="2164348"/>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241751" y="7684502"/>
                <a:ext cx="2674556" cy="2164348"/>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Sales_Channel"/>
              <xdr:cNvGraphicFramePr/>
            </xdr:nvGraphicFramePr>
            <xdr:xfrm>
              <a:off x="253197" y="6279369"/>
              <a:ext cx="2413802" cy="1251731"/>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254292" y="6279369"/>
                <a:ext cx="2644621" cy="1251731"/>
              </a:xfrm>
              <a:prstGeom prst="rect">
                <a:avLst/>
              </a:prstGeom>
              <a:solidFill>
                <a:prstClr val="white"/>
              </a:solidFill>
              <a:ln w="1">
                <a:solidFill>
                  <a:prstClr val="green"/>
                </a:solidFill>
              </a:ln>
            </xdr:spPr>
            <xdr:txBody>
              <a:bodyPr vertOverflow="clip" horzOverflow="clip"/>
              <a:lstStyle/>
              <a:p>
                <a:r>
                  <a:rPr lang="id-ID"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298450</xdr:colOff>
      <xdr:row>16</xdr:row>
      <xdr:rowOff>85726</xdr:rowOff>
    </xdr:from>
    <xdr:to>
      <xdr:col>16</xdr:col>
      <xdr:colOff>330199</xdr:colOff>
      <xdr:row>31</xdr:row>
      <xdr:rowOff>68205</xdr:rowOff>
    </xdr:to>
    <xdr:grpSp>
      <xdr:nvGrpSpPr>
        <xdr:cNvPr id="26" name="Group 25"/>
        <xdr:cNvGrpSpPr/>
      </xdr:nvGrpSpPr>
      <xdr:grpSpPr>
        <a:xfrm>
          <a:off x="3079750" y="3857626"/>
          <a:ext cx="9309099" cy="2839979"/>
          <a:chOff x="2914650" y="3867151"/>
          <a:chExt cx="11573685" cy="3009900"/>
        </a:xfrm>
      </xdr:grpSpPr>
      <xdr:graphicFrame macro="">
        <xdr:nvGraphicFramePr>
          <xdr:cNvPr id="7" name="MOnthly Growth"/>
          <xdr:cNvGraphicFramePr>
            <a:graphicFrameLocks/>
          </xdr:cNvGraphicFramePr>
        </xdr:nvGraphicFramePr>
        <xdr:xfrm>
          <a:off x="8809810" y="3874828"/>
          <a:ext cx="5678525" cy="299720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8" name="Monthly Revenue"/>
          <xdr:cNvGraphicFramePr>
            <a:graphicFrameLocks/>
          </xdr:cNvGraphicFramePr>
        </xdr:nvGraphicFramePr>
        <xdr:xfrm>
          <a:off x="2914650" y="3867151"/>
          <a:ext cx="5695950" cy="30099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16</xdr:col>
      <xdr:colOff>523874</xdr:colOff>
      <xdr:row>16</xdr:row>
      <xdr:rowOff>76201</xdr:rowOff>
    </xdr:from>
    <xdr:to>
      <xdr:col>19</xdr:col>
      <xdr:colOff>301624</xdr:colOff>
      <xdr:row>31</xdr:row>
      <xdr:rowOff>63501</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508000</xdr:colOff>
      <xdr:row>31</xdr:row>
      <xdr:rowOff>171451</xdr:rowOff>
    </xdr:from>
    <xdr:to>
      <xdr:col>19</xdr:col>
      <xdr:colOff>301625</xdr:colOff>
      <xdr:row>43</xdr:row>
      <xdr:rowOff>714375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19051</xdr:colOff>
      <xdr:row>13</xdr:row>
      <xdr:rowOff>9526</xdr:rowOff>
    </xdr:from>
    <xdr:to>
      <xdr:col>12</xdr:col>
      <xdr:colOff>990601</xdr:colOff>
      <xdr:row>19</xdr:row>
      <xdr:rowOff>9526</xdr:rowOff>
    </xdr:to>
    <xdr:sp macro="" textlink="">
      <xdr:nvSpPr>
        <xdr:cNvPr id="2" name="TextBox 1"/>
        <xdr:cNvSpPr txBox="1"/>
      </xdr:nvSpPr>
      <xdr:spPr>
        <a:xfrm>
          <a:off x="10182226" y="2486026"/>
          <a:ext cx="971550" cy="1143000"/>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COUNT with INDEX and MATCH</a:t>
          </a:r>
          <a:r>
            <a:rPr lang="id-ID" sz="900"/>
            <a:t>: to count the total number of data entries in each column</a:t>
          </a:r>
        </a:p>
      </xdr:txBody>
    </xdr:sp>
    <xdr:clientData/>
  </xdr:twoCellAnchor>
  <xdr:twoCellAnchor>
    <xdr:from>
      <xdr:col>13</xdr:col>
      <xdr:colOff>47625</xdr:colOff>
      <xdr:row>13</xdr:row>
      <xdr:rowOff>0</xdr:rowOff>
    </xdr:from>
    <xdr:to>
      <xdr:col>14</xdr:col>
      <xdr:colOff>0</xdr:colOff>
      <xdr:row>19</xdr:row>
      <xdr:rowOff>28576</xdr:rowOff>
    </xdr:to>
    <xdr:sp macro="" textlink="">
      <xdr:nvSpPr>
        <xdr:cNvPr id="7" name="TextBox 6"/>
        <xdr:cNvSpPr txBox="1"/>
      </xdr:nvSpPr>
      <xdr:spPr>
        <a:xfrm>
          <a:off x="11220450" y="2476500"/>
          <a:ext cx="971550" cy="1171576"/>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COUNTBLANK with INDEX and MATCH: </a:t>
          </a:r>
          <a:r>
            <a:rPr lang="id-ID" sz="900" b="0"/>
            <a:t>to count the  missing vlues in each column</a:t>
          </a:r>
        </a:p>
      </xdr:txBody>
    </xdr:sp>
    <xdr:clientData/>
  </xdr:twoCellAnchor>
  <xdr:twoCellAnchor>
    <xdr:from>
      <xdr:col>14</xdr:col>
      <xdr:colOff>47625</xdr:colOff>
      <xdr:row>13</xdr:row>
      <xdr:rowOff>9525</xdr:rowOff>
    </xdr:from>
    <xdr:to>
      <xdr:col>14</xdr:col>
      <xdr:colOff>962025</xdr:colOff>
      <xdr:row>19</xdr:row>
      <xdr:rowOff>38101</xdr:rowOff>
    </xdr:to>
    <xdr:sp macro="" textlink="">
      <xdr:nvSpPr>
        <xdr:cNvPr id="8" name="TextBox 7"/>
        <xdr:cNvSpPr txBox="1"/>
      </xdr:nvSpPr>
      <xdr:spPr>
        <a:xfrm>
          <a:off x="12239625" y="2486025"/>
          <a:ext cx="914400" cy="1171576"/>
        </a:xfrm>
        <a:prstGeom prst="rect">
          <a:avLst/>
        </a:prstGeom>
        <a:solidFill>
          <a:schemeClr val="tx2">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d-ID" sz="900" b="1"/>
            <a:t>Use of TYPE with IF,INDEX and MATCH: </a:t>
          </a:r>
          <a:r>
            <a:rPr lang="id-ID" sz="900" b="0"/>
            <a:t>to know the format data in each column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22</xdr:row>
      <xdr:rowOff>95250</xdr:rowOff>
    </xdr:from>
    <xdr:to>
      <xdr:col>6</xdr:col>
      <xdr:colOff>561975</xdr:colOff>
      <xdr:row>25</xdr:row>
      <xdr:rowOff>142875</xdr:rowOff>
    </xdr:to>
    <xdr:sp macro="" textlink="">
      <xdr:nvSpPr>
        <xdr:cNvPr id="3" name="Rectangle 2"/>
        <xdr:cNvSpPr/>
      </xdr:nvSpPr>
      <xdr:spPr>
        <a:xfrm>
          <a:off x="2390775" y="4476750"/>
          <a:ext cx="2647950" cy="619125"/>
        </a:xfrm>
        <a:prstGeom prst="rect">
          <a:avLst/>
        </a:prstGeom>
        <a:solidFill>
          <a:srgbClr val="E9EF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b="1">
              <a:solidFill>
                <a:schemeClr val="tx1"/>
              </a:solidFill>
            </a:rPr>
            <a:t>Used VLOOKUP to retrieve the MoM (%) values for a KPI dashboard.</a:t>
          </a:r>
          <a:endParaRPr lang="id-ID" sz="1100" b="1">
            <a:solidFill>
              <a:schemeClr val="tx1"/>
            </a:solidFill>
          </a:endParaRPr>
        </a:p>
      </xdr:txBody>
    </xdr:sp>
    <xdr:clientData/>
  </xdr:twoCellAnchor>
  <xdr:twoCellAnchor>
    <xdr:from>
      <xdr:col>3</xdr:col>
      <xdr:colOff>571502</xdr:colOff>
      <xdr:row>20</xdr:row>
      <xdr:rowOff>28576</xdr:rowOff>
    </xdr:from>
    <xdr:to>
      <xdr:col>4</xdr:col>
      <xdr:colOff>742950</xdr:colOff>
      <xdr:row>22</xdr:row>
      <xdr:rowOff>95250</xdr:rowOff>
    </xdr:to>
    <xdr:cxnSp macro="">
      <xdr:nvCxnSpPr>
        <xdr:cNvPr id="7" name="Elbow Connector 6"/>
        <xdr:cNvCxnSpPr>
          <a:stCxn id="3" idx="0"/>
        </xdr:cNvCxnSpPr>
      </xdr:nvCxnSpPr>
      <xdr:spPr>
        <a:xfrm rot="16200000" flipV="1">
          <a:off x="3038477" y="3800476"/>
          <a:ext cx="447674" cy="904873"/>
        </a:xfrm>
        <a:prstGeom prst="curved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75.633878935187" createdVersion="4" refreshedVersion="4" minRefreshableVersion="3" recordCount="499">
  <cacheSource type="worksheet">
    <worksheetSource name="Table1.Sales_Data"/>
  </cacheSource>
  <cacheFields count="11">
    <cacheField name="Sale_ID" numFmtId="0">
      <sharedItems/>
    </cacheField>
    <cacheField name="Date" numFmtId="167">
      <sharedItems containsSemiMixedTypes="0" containsNonDate="0" containsDate="1" containsString="0" minDate="2025-01-03T00:00:00" maxDate="2026-01-01T00:00:00" count="283">
        <d v="2025-11-24T00:00:00"/>
        <d v="2025-03-13T00:00:00"/>
        <d v="2025-08-05T00:00:00"/>
        <d v="2025-11-05T00:00:00"/>
        <d v="2025-10-07T00:00:00"/>
        <d v="2025-03-23T00:00:00"/>
        <d v="2025-02-22T00:00:00"/>
        <d v="2025-11-06T00:00:00"/>
        <d v="2025-07-13T00:00:00"/>
        <d v="2025-10-23T00:00:00"/>
        <d v="2025-05-29T00:00:00"/>
        <d v="2025-11-22T00:00:00"/>
        <d v="2025-05-17T00:00:00"/>
        <d v="2025-05-06T00:00:00"/>
        <d v="2025-10-13T00:00:00"/>
        <d v="2025-06-11T00:00:00"/>
        <d v="2025-03-15T00:00:00"/>
        <d v="2025-05-15T00:00:00"/>
        <d v="2025-03-12T00:00:00"/>
        <d v="2025-03-20T00:00:00"/>
        <d v="2025-07-15T00:00:00"/>
        <d v="2025-12-15T00:00:00"/>
        <d v="2025-06-24T00:00:00"/>
        <d v="2025-06-02T00:00:00"/>
        <d v="2025-10-04T00:00:00"/>
        <d v="2025-02-27T00:00:00"/>
        <d v="2025-02-10T00:00:00"/>
        <d v="2025-03-06T00:00:00"/>
        <d v="2025-09-28T00:00:00"/>
        <d v="2025-12-20T00:00:00"/>
        <d v="2025-07-11T00:00:00"/>
        <d v="2025-02-02T00:00:00"/>
        <d v="2025-04-23T00:00:00"/>
        <d v="2025-02-04T00:00:00"/>
        <d v="2025-12-09T00:00:00"/>
        <d v="2025-02-19T00:00:00"/>
        <d v="2025-01-28T00:00:00"/>
        <d v="2025-05-08T00:00:00"/>
        <d v="2025-04-04T00:00:00"/>
        <d v="2025-02-20T00:00:00"/>
        <d v="2025-03-27T00:00:00"/>
        <d v="2025-01-31T00:00:00"/>
        <d v="2025-05-27T00:00:00"/>
        <d v="2025-09-07T00:00:00"/>
        <d v="2025-10-05T00:00:00"/>
        <d v="2025-09-02T00:00:00"/>
        <d v="2025-04-06T00:00:00"/>
        <d v="2025-07-26T00:00:00"/>
        <d v="2025-11-14T00:00:00"/>
        <d v="2025-05-16T00:00:00"/>
        <d v="2025-02-07T00:00:00"/>
        <d v="2025-02-05T00:00:00"/>
        <d v="2025-12-27T00:00:00"/>
        <d v="2025-10-11T00:00:00"/>
        <d v="2025-02-24T00:00:00"/>
        <d v="2025-06-25T00:00:00"/>
        <d v="2025-05-09T00:00:00"/>
        <d v="2025-01-23T00:00:00"/>
        <d v="2025-08-15T00:00:00"/>
        <d v="2025-02-08T00:00:00"/>
        <d v="2025-03-17T00:00:00"/>
        <d v="2025-07-03T00:00:00"/>
        <d v="2025-10-14T00:00:00"/>
        <d v="2025-04-01T00:00:00"/>
        <d v="2025-01-20T00:00:00"/>
        <d v="2025-04-27T00:00:00"/>
        <d v="2025-05-23T00:00:00"/>
        <d v="2025-12-14T00:00:00"/>
        <d v="2025-10-25T00:00:00"/>
        <d v="2025-06-10T00:00:00"/>
        <d v="2025-04-08T00:00:00"/>
        <d v="2025-10-03T00:00:00"/>
        <d v="2025-11-16T00:00:00"/>
        <d v="2025-06-08T00:00:00"/>
        <d v="2025-03-07T00:00:00"/>
        <d v="2025-03-31T00:00:00"/>
        <d v="2025-06-05T00:00:00"/>
        <d v="2025-06-14T00:00:00"/>
        <d v="2025-08-31T00:00:00"/>
        <d v="2025-11-21T00:00:00"/>
        <d v="2025-04-26T00:00:00"/>
        <d v="2025-11-09T00:00:00"/>
        <d v="2025-12-23T00:00:00"/>
        <d v="2025-12-19T00:00:00"/>
        <d v="2025-09-23T00:00:00"/>
        <d v="2025-08-22T00:00:00"/>
        <d v="2025-06-12T00:00:00"/>
        <d v="2025-08-17T00:00:00"/>
        <d v="2025-11-23T00:00:00"/>
        <d v="2025-08-14T00:00:00"/>
        <d v="2025-06-13T00:00:00"/>
        <d v="2025-12-22T00:00:00"/>
        <d v="2025-06-19T00:00:00"/>
        <d v="2025-07-19T00:00:00"/>
        <d v="2025-01-04T00:00:00"/>
        <d v="2025-09-06T00:00:00"/>
        <d v="2025-03-26T00:00:00"/>
        <d v="2025-10-31T00:00:00"/>
        <d v="2025-03-11T00:00:00"/>
        <d v="2025-04-19T00:00:00"/>
        <d v="2025-05-10T00:00:00"/>
        <d v="2025-06-29T00:00:00"/>
        <d v="2025-05-07T00:00:00"/>
        <d v="2025-07-08T00:00:00"/>
        <d v="2025-03-25T00:00:00"/>
        <d v="2025-12-13T00:00:00"/>
        <d v="2025-11-04T00:00:00"/>
        <d v="2025-12-05T00:00:00"/>
        <d v="2025-08-04T00:00:00"/>
        <d v="2025-12-29T00:00:00"/>
        <d v="2025-05-19T00:00:00"/>
        <d v="2025-05-05T00:00:00"/>
        <d v="2025-01-15T00:00:00"/>
        <d v="2025-05-13T00:00:00"/>
        <d v="2025-01-06T00:00:00"/>
        <d v="2025-09-08T00:00:00"/>
        <d v="2025-09-09T00:00:00"/>
        <d v="2025-12-21T00:00:00"/>
        <d v="2025-06-30T00:00:00"/>
        <d v="2025-04-09T00:00:00"/>
        <d v="2025-04-05T00:00:00"/>
        <d v="2025-10-29T00:00:00"/>
        <d v="2025-06-01T00:00:00"/>
        <d v="2025-10-01T00:00:00"/>
        <d v="2025-12-24T00:00:00"/>
        <d v="2025-10-21T00:00:00"/>
        <d v="2025-01-27T00:00:00"/>
        <d v="2025-10-16T00:00:00"/>
        <d v="2025-11-07T00:00:00"/>
        <d v="2025-03-22T00:00:00"/>
        <d v="2025-05-30T00:00:00"/>
        <d v="2025-08-21T00:00:00"/>
        <d v="2025-03-18T00:00:00"/>
        <d v="2025-11-01T00:00:00"/>
        <d v="2025-02-11T00:00:00"/>
        <d v="2025-10-28T00:00:00"/>
        <d v="2025-08-29T00:00:00"/>
        <d v="2025-08-12T00:00:00"/>
        <d v="2025-05-28T00:00:00"/>
        <d v="2025-12-03T00:00:00"/>
        <d v="2025-07-05T00:00:00"/>
        <d v="2025-04-15T00:00:00"/>
        <d v="2025-12-30T00:00:00"/>
        <d v="2025-02-17T00:00:00"/>
        <d v="2025-09-13T00:00:00"/>
        <d v="2025-08-30T00:00:00"/>
        <d v="2025-11-03T00:00:00"/>
        <d v="2025-09-05T00:00:00"/>
        <d v="2025-07-30T00:00:00"/>
        <d v="2025-07-17T00:00:00"/>
        <d v="2025-06-23T00:00:00"/>
        <d v="2025-12-12T00:00:00"/>
        <d v="2025-01-24T00:00:00"/>
        <d v="2025-03-16T00:00:00"/>
        <d v="2025-03-29T00:00:00"/>
        <d v="2025-05-04T00:00:00"/>
        <d v="2025-05-11T00:00:00"/>
        <d v="2025-06-03T00:00:00"/>
        <d v="2025-04-12T00:00:00"/>
        <d v="2025-07-22T00:00:00"/>
        <d v="2025-01-26T00:00:00"/>
        <d v="2025-02-16T00:00:00"/>
        <d v="2025-03-09T00:00:00"/>
        <d v="2025-05-12T00:00:00"/>
        <d v="2025-08-28T00:00:00"/>
        <d v="2025-07-23T00:00:00"/>
        <d v="2025-10-02T00:00:00"/>
        <d v="2025-04-30T00:00:00"/>
        <d v="2025-04-24T00:00:00"/>
        <d v="2025-07-29T00:00:00"/>
        <d v="2025-03-01T00:00:00"/>
        <d v="2025-07-09T00:00:00"/>
        <d v="2025-08-01T00:00:00"/>
        <d v="2025-05-22T00:00:00"/>
        <d v="2025-11-25T00:00:00"/>
        <d v="2025-10-17T00:00:00"/>
        <d v="2025-03-08T00:00:00"/>
        <d v="2025-02-28T00:00:00"/>
        <d v="2025-02-25T00:00:00"/>
        <d v="2025-12-04T00:00:00"/>
        <d v="2025-09-03T00:00:00"/>
        <d v="2025-08-16T00:00:00"/>
        <d v="2025-06-16T00:00:00"/>
        <d v="2025-11-30T00:00:00"/>
        <d v="2025-07-31T00:00:00"/>
        <d v="2025-12-18T00:00:00"/>
        <d v="2025-10-15T00:00:00"/>
        <d v="2025-11-26T00:00:00"/>
        <d v="2025-07-25T00:00:00"/>
        <d v="2025-09-29T00:00:00"/>
        <d v="2025-05-20T00:00:00"/>
        <d v="2025-02-26T00:00:00"/>
        <d v="2025-12-08T00:00:00"/>
        <d v="2025-01-10T00:00:00"/>
        <d v="2025-07-27T00:00:00"/>
        <d v="2025-02-09T00:00:00"/>
        <d v="2025-06-28T00:00:00"/>
        <d v="2025-10-24T00:00:00"/>
        <d v="2025-06-15T00:00:00"/>
        <d v="2025-11-20T00:00:00"/>
        <d v="2025-07-16T00:00:00"/>
        <d v="2025-10-20T00:00:00"/>
        <d v="2025-02-01T00:00:00"/>
        <d v="2025-11-27T00:00:00"/>
        <d v="2025-09-26T00:00:00"/>
        <d v="2025-07-18T00:00:00"/>
        <d v="2025-11-28T00:00:00"/>
        <d v="2025-06-20T00:00:00"/>
        <d v="2025-12-02T00:00:00"/>
        <d v="2025-12-17T00:00:00"/>
        <d v="2025-02-21T00:00:00"/>
        <d v="2025-06-22T00:00:00"/>
        <d v="2025-04-03T00:00:00"/>
        <d v="2025-07-06T00:00:00"/>
        <d v="2025-08-18T00:00:00"/>
        <d v="2025-04-10T00:00:00"/>
        <d v="2025-03-24T00:00:00"/>
        <d v="2025-04-25T00:00:00"/>
        <d v="2025-12-28T00:00:00"/>
        <d v="2025-05-03T00:00:00"/>
        <d v="2025-06-26T00:00:00"/>
        <d v="2025-01-22T00:00:00"/>
        <d v="2025-01-25T00:00:00"/>
        <d v="2025-08-09T00:00:00"/>
        <d v="2025-08-07T00:00:00"/>
        <d v="2025-01-16T00:00:00"/>
        <d v="2025-01-17T00:00:00"/>
        <d v="2025-04-13T00:00:00"/>
        <d v="2025-02-03T00:00:00"/>
        <d v="2025-12-31T00:00:00"/>
        <d v="2025-08-19T00:00:00"/>
        <d v="2025-03-05T00:00:00"/>
        <d v="2025-08-02T00:00:00"/>
        <d v="2025-08-03T00:00:00"/>
        <d v="2025-09-12T00:00:00"/>
        <d v="2025-04-21T00:00:00"/>
        <d v="2025-11-02T00:00:00"/>
        <d v="2025-07-07T00:00:00"/>
        <d v="2025-10-09T00:00:00"/>
        <d v="2025-09-17T00:00:00"/>
        <d v="2025-09-01T00:00:00"/>
        <d v="2025-10-26T00:00:00"/>
        <d v="2025-12-25T00:00:00"/>
        <d v="2025-03-19T00:00:00"/>
        <d v="2025-09-30T00:00:00"/>
        <d v="2025-05-21T00:00:00"/>
        <d v="2025-04-20T00:00:00"/>
        <d v="2025-01-03T00:00:00"/>
        <d v="2025-02-15T00:00:00"/>
        <d v="2025-09-10T00:00:00"/>
        <d v="2025-09-21T00:00:00"/>
        <d v="2025-05-01T00:00:00"/>
        <d v="2025-09-15T00:00:00"/>
        <d v="2025-11-11T00:00:00"/>
        <d v="2025-12-07T00:00:00"/>
        <d v="2025-09-27T00:00:00"/>
        <d v="2025-04-16T00:00:00"/>
        <d v="2025-07-12T00:00:00"/>
        <d v="2025-10-06T00:00:00"/>
        <d v="2025-06-27T00:00:00"/>
        <d v="2025-10-22T00:00:00"/>
        <d v="2025-05-02T00:00:00"/>
        <d v="2025-11-17T00:00:00"/>
        <d v="2025-12-10T00:00:00"/>
        <d v="2025-12-11T00:00:00"/>
        <d v="2025-11-29T00:00:00"/>
        <d v="2025-08-27T00:00:00"/>
        <d v="2025-01-09T00:00:00"/>
        <d v="2025-03-28T00:00:00"/>
        <d v="2025-01-29T00:00:00"/>
        <d v="2025-05-24T00:00:00"/>
        <d v="2025-04-29T00:00:00"/>
        <d v="2025-06-17T00:00:00"/>
        <d v="2025-07-02T00:00:00"/>
        <d v="2025-06-07T00:00:00"/>
        <d v="2025-02-13T00:00:00"/>
        <d v="2025-07-14T00:00:00"/>
        <d v="2025-09-11T00:00:00"/>
        <d v="2025-12-16T00:00:00"/>
        <d v="2025-08-13T00:00:00"/>
        <d v="2025-07-04T00:00:00"/>
        <d v="2025-03-14T00:00:00"/>
        <d v="2025-09-24T00:00:00"/>
      </sharedItems>
      <fieldGroup base="1">
        <rangePr groupBy="months" startDate="2025-01-03T00:00:00" endDate="2026-01-01T00:00:00"/>
        <groupItems count="14">
          <s v="&lt;03/01/2025"/>
          <s v="Jan"/>
          <s v="Feb"/>
          <s v="Mar"/>
          <s v="Apr"/>
          <s v="Mei"/>
          <s v="Jun"/>
          <s v="Jul"/>
          <s v="Agu"/>
          <s v="Sep"/>
          <s v="Okt"/>
          <s v="Nov"/>
          <s v="Des"/>
          <s v="&gt;01/01/2026"/>
        </groupItems>
      </fieldGroup>
    </cacheField>
    <cacheField name="Brand" numFmtId="0">
      <sharedItems count="6">
        <s v="Nike"/>
        <s v="Skechers"/>
        <s v="New Balance"/>
        <s v="Adidas"/>
        <s v="Puma"/>
        <s v="Reebok"/>
      </sharedItems>
    </cacheField>
    <cacheField name="Shoe_Type" numFmtId="0">
      <sharedItems count="6">
        <s v="Boots"/>
        <s v="Running"/>
        <s v="Casual"/>
        <s v="Formal"/>
        <s v="Sports"/>
        <s v="Sneakers"/>
      </sharedItems>
    </cacheField>
    <cacheField name="Color" numFmtId="0">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2">
      <sharedItems containsSemiMixedTypes="0" containsString="0" containsNumber="1" minValue="31.11" maxValue="248.45"/>
    </cacheField>
    <cacheField name="Units_Sold" numFmtId="0">
      <sharedItems containsSemiMixedTypes="0" containsString="0" containsNumber="1" containsInteger="1" minValue="1" maxValue="20"/>
    </cacheField>
    <cacheField name="Revenue_USD" numFmtId="2">
      <sharedItems containsSemiMixedTypes="0" containsString="0" containsNumber="1" minValue="32.380000000000003" maxValue="4938.3999999999996"/>
    </cacheField>
    <cacheField name="AVG_Rev_Month" numFmtId="0" formula="Revenue_USD/12"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9">
  <r>
    <s v="S1"/>
    <x v="0"/>
    <x v="0"/>
    <x v="0"/>
    <s v="Blue"/>
    <x v="0"/>
    <x v="0"/>
    <n v="112.4"/>
    <n v="4"/>
    <n v="449.6"/>
  </r>
  <r>
    <s v="S2"/>
    <x v="1"/>
    <x v="1"/>
    <x v="0"/>
    <s v="Grey"/>
    <x v="1"/>
    <x v="1"/>
    <n v="239.16"/>
    <n v="4"/>
    <n v="956.64"/>
  </r>
  <r>
    <s v="S3"/>
    <x v="2"/>
    <x v="0"/>
    <x v="1"/>
    <s v="White"/>
    <x v="0"/>
    <x v="1"/>
    <n v="191.04"/>
    <n v="2"/>
    <n v="382.08"/>
  </r>
  <r>
    <s v="S4"/>
    <x v="3"/>
    <x v="2"/>
    <x v="2"/>
    <s v="Green"/>
    <x v="2"/>
    <x v="1"/>
    <n v="161.69999999999999"/>
    <n v="1"/>
    <n v="161.69999999999999"/>
  </r>
  <r>
    <s v="S5"/>
    <x v="4"/>
    <x v="3"/>
    <x v="3"/>
    <s v="Grey"/>
    <x v="3"/>
    <x v="0"/>
    <n v="64.319999999999993"/>
    <n v="14"/>
    <n v="900.48"/>
  </r>
  <r>
    <s v="S6"/>
    <x v="5"/>
    <x v="4"/>
    <x v="4"/>
    <s v="White"/>
    <x v="0"/>
    <x v="2"/>
    <n v="64.319999999999993"/>
    <n v="14"/>
    <n v="900.48"/>
  </r>
  <r>
    <s v="S7"/>
    <x v="6"/>
    <x v="5"/>
    <x v="1"/>
    <s v="Blue"/>
    <x v="4"/>
    <x v="2"/>
    <n v="42.78"/>
    <n v="3"/>
    <n v="128.34"/>
  </r>
  <r>
    <s v="S8"/>
    <x v="7"/>
    <x v="0"/>
    <x v="0"/>
    <s v="Red"/>
    <x v="5"/>
    <x v="0"/>
    <n v="220.56"/>
    <n v="9"/>
    <n v="1985.04"/>
  </r>
  <r>
    <s v="S9"/>
    <x v="8"/>
    <x v="2"/>
    <x v="4"/>
    <s v="Green"/>
    <x v="5"/>
    <x v="2"/>
    <n v="162.25"/>
    <n v="3"/>
    <n v="486.75"/>
  </r>
  <r>
    <s v="S10"/>
    <x v="9"/>
    <x v="1"/>
    <x v="1"/>
    <s v="Black"/>
    <x v="2"/>
    <x v="0"/>
    <n v="185.78"/>
    <n v="7"/>
    <n v="1300.46"/>
  </r>
  <r>
    <s v="S11"/>
    <x v="10"/>
    <x v="3"/>
    <x v="1"/>
    <s v="Red"/>
    <x v="3"/>
    <x v="2"/>
    <n v="34.53"/>
    <n v="3"/>
    <n v="103.59"/>
  </r>
  <r>
    <s v="S12"/>
    <x v="11"/>
    <x v="3"/>
    <x v="4"/>
    <s v="Blue"/>
    <x v="0"/>
    <x v="1"/>
    <n v="243.38"/>
    <n v="12"/>
    <n v="2920.56"/>
  </r>
  <r>
    <s v="S13"/>
    <x v="12"/>
    <x v="2"/>
    <x v="0"/>
    <s v="White"/>
    <x v="5"/>
    <x v="1"/>
    <n v="213.14"/>
    <n v="3"/>
    <n v="639.41999999999996"/>
  </r>
  <r>
    <s v="S14"/>
    <x v="13"/>
    <x v="5"/>
    <x v="3"/>
    <s v="Blue"/>
    <x v="2"/>
    <x v="1"/>
    <n v="76.709999999999994"/>
    <n v="6"/>
    <n v="460.26"/>
  </r>
  <r>
    <s v="S15"/>
    <x v="14"/>
    <x v="1"/>
    <x v="4"/>
    <s v="Black"/>
    <x v="0"/>
    <x v="0"/>
    <n v="70"/>
    <n v="8"/>
    <n v="560"/>
  </r>
  <r>
    <s v="S16"/>
    <x v="15"/>
    <x v="4"/>
    <x v="1"/>
    <s v="White"/>
    <x v="5"/>
    <x v="1"/>
    <n v="70.349999999999994"/>
    <n v="13"/>
    <n v="914.55"/>
  </r>
  <r>
    <s v="S17"/>
    <x v="15"/>
    <x v="1"/>
    <x v="3"/>
    <s v="Red"/>
    <x v="2"/>
    <x v="2"/>
    <n v="96.93"/>
    <n v="7"/>
    <n v="678.51"/>
  </r>
  <r>
    <s v="S18"/>
    <x v="16"/>
    <x v="3"/>
    <x v="2"/>
    <s v="Green"/>
    <x v="5"/>
    <x v="1"/>
    <n v="145.44999999999999"/>
    <n v="9"/>
    <n v="1309.05"/>
  </r>
  <r>
    <s v="S19"/>
    <x v="17"/>
    <x v="5"/>
    <x v="5"/>
    <s v="Red"/>
    <x v="3"/>
    <x v="0"/>
    <n v="125.03"/>
    <n v="19"/>
    <n v="2375.5700000000002"/>
  </r>
  <r>
    <s v="S20"/>
    <x v="18"/>
    <x v="5"/>
    <x v="1"/>
    <s v="Black"/>
    <x v="4"/>
    <x v="0"/>
    <n v="94.07"/>
    <n v="17"/>
    <n v="1599.19"/>
  </r>
  <r>
    <s v="S21"/>
    <x v="19"/>
    <x v="1"/>
    <x v="3"/>
    <s v="Grey"/>
    <x v="1"/>
    <x v="2"/>
    <n v="164.61"/>
    <n v="6"/>
    <n v="987.66"/>
  </r>
  <r>
    <s v="S22"/>
    <x v="20"/>
    <x v="5"/>
    <x v="5"/>
    <s v="Blue"/>
    <x v="5"/>
    <x v="0"/>
    <n v="60.69"/>
    <n v="20"/>
    <n v="1213.8"/>
  </r>
  <r>
    <s v="S23"/>
    <x v="21"/>
    <x v="1"/>
    <x v="5"/>
    <s v="Blue"/>
    <x v="4"/>
    <x v="1"/>
    <n v="94.27"/>
    <n v="4"/>
    <n v="377.08"/>
  </r>
  <r>
    <s v="S24"/>
    <x v="22"/>
    <x v="4"/>
    <x v="3"/>
    <s v="White"/>
    <x v="6"/>
    <x v="0"/>
    <n v="110.6"/>
    <n v="4"/>
    <n v="442.4"/>
  </r>
  <r>
    <s v="S25"/>
    <x v="17"/>
    <x v="3"/>
    <x v="5"/>
    <s v="Black"/>
    <x v="4"/>
    <x v="1"/>
    <n v="130.34"/>
    <n v="17"/>
    <n v="2215.7800000000002"/>
  </r>
  <r>
    <s v="S26"/>
    <x v="23"/>
    <x v="2"/>
    <x v="2"/>
    <s v="White"/>
    <x v="3"/>
    <x v="0"/>
    <n v="202.74"/>
    <n v="17"/>
    <n v="3446.58"/>
  </r>
  <r>
    <s v="S27"/>
    <x v="24"/>
    <x v="0"/>
    <x v="5"/>
    <s v="Blue"/>
    <x v="6"/>
    <x v="0"/>
    <n v="73.930000000000007"/>
    <n v="17"/>
    <n v="1256.81"/>
  </r>
  <r>
    <s v="S28"/>
    <x v="25"/>
    <x v="4"/>
    <x v="2"/>
    <s v="Black"/>
    <x v="0"/>
    <x v="1"/>
    <n v="143.13"/>
    <n v="12"/>
    <n v="1717.56"/>
  </r>
  <r>
    <s v="S29"/>
    <x v="26"/>
    <x v="1"/>
    <x v="3"/>
    <s v="Black"/>
    <x v="4"/>
    <x v="1"/>
    <n v="160.33000000000001"/>
    <n v="3"/>
    <n v="480.99"/>
  </r>
  <r>
    <s v="S30"/>
    <x v="27"/>
    <x v="1"/>
    <x v="3"/>
    <s v="Grey"/>
    <x v="0"/>
    <x v="2"/>
    <n v="40.22"/>
    <n v="5"/>
    <n v="201.1"/>
  </r>
  <r>
    <s v="S31"/>
    <x v="28"/>
    <x v="5"/>
    <x v="2"/>
    <s v="Grey"/>
    <x v="4"/>
    <x v="1"/>
    <n v="163.66"/>
    <n v="20"/>
    <n v="3273.2"/>
  </r>
  <r>
    <s v="S32"/>
    <x v="29"/>
    <x v="1"/>
    <x v="4"/>
    <s v="Red"/>
    <x v="2"/>
    <x v="1"/>
    <n v="67.52"/>
    <n v="7"/>
    <n v="472.64"/>
  </r>
  <r>
    <s v="S33"/>
    <x v="30"/>
    <x v="2"/>
    <x v="3"/>
    <s v="Black"/>
    <x v="0"/>
    <x v="0"/>
    <n v="44.31"/>
    <n v="15"/>
    <n v="664.65"/>
  </r>
  <r>
    <s v="S34"/>
    <x v="31"/>
    <x v="0"/>
    <x v="5"/>
    <s v="Grey"/>
    <x v="0"/>
    <x v="1"/>
    <n v="238.75"/>
    <n v="11"/>
    <n v="2626.25"/>
  </r>
  <r>
    <s v="S35"/>
    <x v="32"/>
    <x v="0"/>
    <x v="0"/>
    <s v="Green"/>
    <x v="1"/>
    <x v="0"/>
    <n v="242.44"/>
    <n v="1"/>
    <n v="242.44"/>
  </r>
  <r>
    <s v="S36"/>
    <x v="33"/>
    <x v="4"/>
    <x v="1"/>
    <s v="Grey"/>
    <x v="0"/>
    <x v="2"/>
    <n v="207.85"/>
    <n v="2"/>
    <n v="415.7"/>
  </r>
  <r>
    <s v="S37"/>
    <x v="34"/>
    <x v="3"/>
    <x v="5"/>
    <s v="White"/>
    <x v="2"/>
    <x v="1"/>
    <n v="97.02"/>
    <n v="16"/>
    <n v="1552.32"/>
  </r>
  <r>
    <s v="S38"/>
    <x v="9"/>
    <x v="3"/>
    <x v="3"/>
    <s v="Red"/>
    <x v="0"/>
    <x v="0"/>
    <n v="51.49"/>
    <n v="16"/>
    <n v="823.84"/>
  </r>
  <r>
    <s v="S39"/>
    <x v="35"/>
    <x v="4"/>
    <x v="3"/>
    <s v="Red"/>
    <x v="6"/>
    <x v="1"/>
    <n v="180.53"/>
    <n v="14"/>
    <n v="2527.42"/>
  </r>
  <r>
    <s v="S40"/>
    <x v="36"/>
    <x v="0"/>
    <x v="3"/>
    <s v="Green"/>
    <x v="3"/>
    <x v="0"/>
    <n v="126.83"/>
    <n v="4"/>
    <n v="507.32"/>
  </r>
  <r>
    <s v="S41"/>
    <x v="37"/>
    <x v="3"/>
    <x v="5"/>
    <s v="Red"/>
    <x v="0"/>
    <x v="2"/>
    <n v="56.85"/>
    <n v="7"/>
    <n v="397.95"/>
  </r>
  <r>
    <s v="S42"/>
    <x v="38"/>
    <x v="5"/>
    <x v="2"/>
    <s v="Black"/>
    <x v="6"/>
    <x v="1"/>
    <n v="138.94"/>
    <n v="9"/>
    <n v="1250.46"/>
  </r>
  <r>
    <s v="S43"/>
    <x v="39"/>
    <x v="1"/>
    <x v="5"/>
    <s v="Black"/>
    <x v="1"/>
    <x v="0"/>
    <n v="37.57"/>
    <n v="2"/>
    <n v="75.14"/>
  </r>
  <r>
    <s v="S44"/>
    <x v="40"/>
    <x v="5"/>
    <x v="3"/>
    <s v="White"/>
    <x v="4"/>
    <x v="2"/>
    <n v="230.05"/>
    <n v="14"/>
    <n v="3220.7"/>
  </r>
  <r>
    <s v="S45"/>
    <x v="41"/>
    <x v="5"/>
    <x v="1"/>
    <s v="Red"/>
    <x v="3"/>
    <x v="2"/>
    <n v="86.93"/>
    <n v="6"/>
    <n v="521.58000000000004"/>
  </r>
  <r>
    <s v="S46"/>
    <x v="42"/>
    <x v="1"/>
    <x v="0"/>
    <s v="Grey"/>
    <x v="2"/>
    <x v="1"/>
    <n v="175.75"/>
    <n v="14"/>
    <n v="2460.5"/>
  </r>
  <r>
    <s v="S47"/>
    <x v="43"/>
    <x v="3"/>
    <x v="4"/>
    <s v="White"/>
    <x v="1"/>
    <x v="1"/>
    <n v="98.58"/>
    <n v="5"/>
    <n v="492.9"/>
  </r>
  <r>
    <s v="S48"/>
    <x v="44"/>
    <x v="1"/>
    <x v="4"/>
    <s v="Black"/>
    <x v="1"/>
    <x v="1"/>
    <n v="144.41"/>
    <n v="2"/>
    <n v="288.82"/>
  </r>
  <r>
    <s v="S49"/>
    <x v="45"/>
    <x v="2"/>
    <x v="2"/>
    <s v="Black"/>
    <x v="5"/>
    <x v="0"/>
    <n v="150.28"/>
    <n v="17"/>
    <n v="2554.7600000000002"/>
  </r>
  <r>
    <s v="S50"/>
    <x v="46"/>
    <x v="2"/>
    <x v="1"/>
    <s v="Green"/>
    <x v="4"/>
    <x v="0"/>
    <n v="70.67"/>
    <n v="3"/>
    <n v="212.01"/>
  </r>
  <r>
    <s v="S51"/>
    <x v="47"/>
    <x v="2"/>
    <x v="2"/>
    <s v="Grey"/>
    <x v="5"/>
    <x v="0"/>
    <n v="243.31"/>
    <n v="4"/>
    <n v="973.24"/>
  </r>
  <r>
    <s v="S52"/>
    <x v="48"/>
    <x v="5"/>
    <x v="0"/>
    <s v="Grey"/>
    <x v="5"/>
    <x v="1"/>
    <n v="200.53"/>
    <n v="3"/>
    <n v="601.59"/>
  </r>
  <r>
    <s v="S53"/>
    <x v="15"/>
    <x v="3"/>
    <x v="0"/>
    <s v="Green"/>
    <x v="3"/>
    <x v="0"/>
    <n v="236.69"/>
    <n v="9"/>
    <n v="2130.21"/>
  </r>
  <r>
    <s v="S54"/>
    <x v="49"/>
    <x v="3"/>
    <x v="0"/>
    <s v="Green"/>
    <x v="3"/>
    <x v="2"/>
    <n v="226.86"/>
    <n v="13"/>
    <n v="2949.18"/>
  </r>
  <r>
    <s v="S55"/>
    <x v="15"/>
    <x v="0"/>
    <x v="3"/>
    <s v="Grey"/>
    <x v="5"/>
    <x v="0"/>
    <n v="161.54"/>
    <n v="3"/>
    <n v="484.62"/>
  </r>
  <r>
    <s v="S56"/>
    <x v="50"/>
    <x v="3"/>
    <x v="5"/>
    <s v="Blue"/>
    <x v="0"/>
    <x v="2"/>
    <n v="232.81"/>
    <n v="18"/>
    <n v="4190.58"/>
  </r>
  <r>
    <s v="S57"/>
    <x v="51"/>
    <x v="4"/>
    <x v="4"/>
    <s v="White"/>
    <x v="6"/>
    <x v="1"/>
    <n v="49.47"/>
    <n v="8"/>
    <n v="395.76"/>
  </r>
  <r>
    <s v="S58"/>
    <x v="52"/>
    <x v="2"/>
    <x v="0"/>
    <s v="Grey"/>
    <x v="1"/>
    <x v="1"/>
    <n v="73.12"/>
    <n v="10"/>
    <n v="731.2"/>
  </r>
  <r>
    <s v="S59"/>
    <x v="53"/>
    <x v="1"/>
    <x v="1"/>
    <s v="White"/>
    <x v="3"/>
    <x v="0"/>
    <n v="39.950000000000003"/>
    <n v="10"/>
    <n v="399.5"/>
  </r>
  <r>
    <s v="S60"/>
    <x v="54"/>
    <x v="3"/>
    <x v="4"/>
    <s v="Blue"/>
    <x v="5"/>
    <x v="0"/>
    <n v="101.57"/>
    <n v="18"/>
    <n v="1828.26"/>
  </r>
  <r>
    <s v="S61"/>
    <x v="55"/>
    <x v="1"/>
    <x v="0"/>
    <s v="Blue"/>
    <x v="5"/>
    <x v="2"/>
    <n v="115.51"/>
    <n v="7"/>
    <n v="808.57"/>
  </r>
  <r>
    <s v="S62"/>
    <x v="56"/>
    <x v="0"/>
    <x v="0"/>
    <s v="Red"/>
    <x v="4"/>
    <x v="2"/>
    <n v="89.7"/>
    <n v="2"/>
    <n v="179.4"/>
  </r>
  <r>
    <s v="S63"/>
    <x v="57"/>
    <x v="4"/>
    <x v="2"/>
    <s v="Green"/>
    <x v="3"/>
    <x v="0"/>
    <n v="212.32"/>
    <n v="1"/>
    <n v="212.32"/>
  </r>
  <r>
    <s v="S64"/>
    <x v="58"/>
    <x v="1"/>
    <x v="3"/>
    <s v="Grey"/>
    <x v="1"/>
    <x v="0"/>
    <n v="108.49"/>
    <n v="18"/>
    <n v="1952.82"/>
  </r>
  <r>
    <s v="S65"/>
    <x v="59"/>
    <x v="2"/>
    <x v="1"/>
    <s v="Blue"/>
    <x v="5"/>
    <x v="1"/>
    <n v="91.81"/>
    <n v="5"/>
    <n v="459.05"/>
  </r>
  <r>
    <s v="S66"/>
    <x v="60"/>
    <x v="3"/>
    <x v="1"/>
    <s v="Blue"/>
    <x v="3"/>
    <x v="0"/>
    <n v="149.38999999999999"/>
    <n v="14"/>
    <n v="2091.46"/>
  </r>
  <r>
    <s v="S67"/>
    <x v="61"/>
    <x v="1"/>
    <x v="2"/>
    <s v="Green"/>
    <x v="1"/>
    <x v="2"/>
    <n v="61"/>
    <n v="7"/>
    <n v="427"/>
  </r>
  <r>
    <s v="S68"/>
    <x v="62"/>
    <x v="2"/>
    <x v="0"/>
    <s v="White"/>
    <x v="0"/>
    <x v="0"/>
    <n v="206.48"/>
    <n v="14"/>
    <n v="2890.72"/>
  </r>
  <r>
    <s v="S69"/>
    <x v="63"/>
    <x v="0"/>
    <x v="2"/>
    <s v="Green"/>
    <x v="3"/>
    <x v="2"/>
    <n v="46.4"/>
    <n v="14"/>
    <n v="649.6"/>
  </r>
  <r>
    <s v="S70"/>
    <x v="34"/>
    <x v="4"/>
    <x v="2"/>
    <s v="Green"/>
    <x v="1"/>
    <x v="2"/>
    <n v="247.12"/>
    <n v="8"/>
    <n v="1976.96"/>
  </r>
  <r>
    <s v="S71"/>
    <x v="64"/>
    <x v="3"/>
    <x v="2"/>
    <s v="Red"/>
    <x v="3"/>
    <x v="2"/>
    <n v="199.89"/>
    <n v="16"/>
    <n v="3198.24"/>
  </r>
  <r>
    <s v="S72"/>
    <x v="65"/>
    <x v="0"/>
    <x v="0"/>
    <s v="White"/>
    <x v="6"/>
    <x v="2"/>
    <n v="73.72"/>
    <n v="8"/>
    <n v="589.76"/>
  </r>
  <r>
    <s v="S73"/>
    <x v="66"/>
    <x v="4"/>
    <x v="4"/>
    <s v="Green"/>
    <x v="5"/>
    <x v="2"/>
    <n v="31.21"/>
    <n v="3"/>
    <n v="93.63"/>
  </r>
  <r>
    <s v="S74"/>
    <x v="67"/>
    <x v="4"/>
    <x v="1"/>
    <s v="Black"/>
    <x v="3"/>
    <x v="0"/>
    <n v="209.4"/>
    <n v="18"/>
    <n v="3769.2"/>
  </r>
  <r>
    <s v="S75"/>
    <x v="68"/>
    <x v="0"/>
    <x v="1"/>
    <s v="Grey"/>
    <x v="6"/>
    <x v="2"/>
    <n v="185.51"/>
    <n v="9"/>
    <n v="1669.59"/>
  </r>
  <r>
    <s v="S76"/>
    <x v="69"/>
    <x v="2"/>
    <x v="5"/>
    <s v="Black"/>
    <x v="6"/>
    <x v="1"/>
    <n v="190.38"/>
    <n v="14"/>
    <n v="2665.32"/>
  </r>
  <r>
    <s v="S77"/>
    <x v="70"/>
    <x v="0"/>
    <x v="0"/>
    <s v="Red"/>
    <x v="1"/>
    <x v="1"/>
    <n v="199.68"/>
    <n v="9"/>
    <n v="1797.12"/>
  </r>
  <r>
    <s v="S78"/>
    <x v="71"/>
    <x v="4"/>
    <x v="3"/>
    <s v="Black"/>
    <x v="2"/>
    <x v="2"/>
    <n v="46.29"/>
    <n v="7"/>
    <n v="324.02999999999997"/>
  </r>
  <r>
    <s v="S79"/>
    <x v="72"/>
    <x v="1"/>
    <x v="1"/>
    <s v="Green"/>
    <x v="3"/>
    <x v="1"/>
    <n v="108.86"/>
    <n v="11"/>
    <n v="1197.46"/>
  </r>
  <r>
    <s v="S80"/>
    <x v="73"/>
    <x v="4"/>
    <x v="3"/>
    <s v="Green"/>
    <x v="3"/>
    <x v="1"/>
    <n v="55.49"/>
    <n v="14"/>
    <n v="776.86"/>
  </r>
  <r>
    <s v="S81"/>
    <x v="74"/>
    <x v="5"/>
    <x v="0"/>
    <s v="Red"/>
    <x v="2"/>
    <x v="1"/>
    <n v="219.88"/>
    <n v="7"/>
    <n v="1539.16"/>
  </r>
  <r>
    <s v="S82"/>
    <x v="75"/>
    <x v="2"/>
    <x v="4"/>
    <s v="Red"/>
    <x v="5"/>
    <x v="0"/>
    <n v="167.13"/>
    <n v="20"/>
    <n v="3342.6"/>
  </r>
  <r>
    <s v="S83"/>
    <x v="76"/>
    <x v="3"/>
    <x v="3"/>
    <s v="Grey"/>
    <x v="5"/>
    <x v="1"/>
    <n v="102.8"/>
    <n v="10"/>
    <n v="1028"/>
  </r>
  <r>
    <s v="S84"/>
    <x v="77"/>
    <x v="5"/>
    <x v="3"/>
    <s v="Green"/>
    <x v="0"/>
    <x v="1"/>
    <n v="43.98"/>
    <n v="15"/>
    <n v="659.7"/>
  </r>
  <r>
    <s v="S85"/>
    <x v="78"/>
    <x v="1"/>
    <x v="1"/>
    <s v="Blue"/>
    <x v="5"/>
    <x v="1"/>
    <n v="98.42"/>
    <n v="6"/>
    <n v="590.52"/>
  </r>
  <r>
    <s v="S86"/>
    <x v="79"/>
    <x v="4"/>
    <x v="1"/>
    <s v="White"/>
    <x v="2"/>
    <x v="2"/>
    <n v="101.54"/>
    <n v="20"/>
    <n v="2030.8"/>
  </r>
  <r>
    <s v="S87"/>
    <x v="80"/>
    <x v="3"/>
    <x v="1"/>
    <s v="Black"/>
    <x v="0"/>
    <x v="2"/>
    <n v="190.51"/>
    <n v="7"/>
    <n v="1333.57"/>
  </r>
  <r>
    <s v="S88"/>
    <x v="81"/>
    <x v="5"/>
    <x v="3"/>
    <s v="Green"/>
    <x v="5"/>
    <x v="0"/>
    <n v="170.26"/>
    <n v="3"/>
    <n v="510.78"/>
  </r>
  <r>
    <s v="S89"/>
    <x v="82"/>
    <x v="5"/>
    <x v="3"/>
    <s v="White"/>
    <x v="0"/>
    <x v="1"/>
    <n v="225.19"/>
    <n v="13"/>
    <n v="2927.47"/>
  </r>
  <r>
    <s v="S90"/>
    <x v="83"/>
    <x v="0"/>
    <x v="3"/>
    <s v="White"/>
    <x v="0"/>
    <x v="1"/>
    <n v="133.88999999999999"/>
    <n v="1"/>
    <n v="133.88999999999999"/>
  </r>
  <r>
    <s v="S91"/>
    <x v="84"/>
    <x v="0"/>
    <x v="5"/>
    <s v="White"/>
    <x v="4"/>
    <x v="0"/>
    <n v="56.31"/>
    <n v="15"/>
    <n v="844.65"/>
  </r>
  <r>
    <s v="S92"/>
    <x v="85"/>
    <x v="5"/>
    <x v="0"/>
    <s v="Grey"/>
    <x v="5"/>
    <x v="1"/>
    <n v="186.91"/>
    <n v="5"/>
    <n v="934.55"/>
  </r>
  <r>
    <s v="S93"/>
    <x v="86"/>
    <x v="2"/>
    <x v="0"/>
    <s v="Grey"/>
    <x v="6"/>
    <x v="1"/>
    <n v="197.37"/>
    <n v="15"/>
    <n v="2960.55"/>
  </r>
  <r>
    <s v="S94"/>
    <x v="87"/>
    <x v="1"/>
    <x v="3"/>
    <s v="Red"/>
    <x v="3"/>
    <x v="0"/>
    <n v="153.47999999999999"/>
    <n v="6"/>
    <n v="920.88"/>
  </r>
  <r>
    <s v="S95"/>
    <x v="88"/>
    <x v="2"/>
    <x v="3"/>
    <s v="Green"/>
    <x v="0"/>
    <x v="2"/>
    <n v="199.61"/>
    <n v="9"/>
    <n v="1796.49"/>
  </r>
  <r>
    <s v="S96"/>
    <x v="89"/>
    <x v="1"/>
    <x v="4"/>
    <s v="White"/>
    <x v="3"/>
    <x v="2"/>
    <n v="138.63999999999999"/>
    <n v="3"/>
    <n v="415.92"/>
  </r>
  <r>
    <s v="S97"/>
    <x v="90"/>
    <x v="0"/>
    <x v="2"/>
    <s v="White"/>
    <x v="0"/>
    <x v="2"/>
    <n v="145"/>
    <n v="18"/>
    <n v="2610"/>
  </r>
  <r>
    <s v="S98"/>
    <x v="91"/>
    <x v="1"/>
    <x v="2"/>
    <s v="Black"/>
    <x v="6"/>
    <x v="2"/>
    <n v="124.06"/>
    <n v="5"/>
    <n v="620.29999999999995"/>
  </r>
  <r>
    <s v="S99"/>
    <x v="92"/>
    <x v="5"/>
    <x v="3"/>
    <s v="Black"/>
    <x v="0"/>
    <x v="2"/>
    <n v="35.590000000000003"/>
    <n v="18"/>
    <n v="640.62"/>
  </r>
  <r>
    <s v="S100"/>
    <x v="93"/>
    <x v="1"/>
    <x v="1"/>
    <s v="Grey"/>
    <x v="6"/>
    <x v="2"/>
    <n v="53.74"/>
    <n v="19"/>
    <n v="1021.06"/>
  </r>
  <r>
    <s v="S101"/>
    <x v="94"/>
    <x v="4"/>
    <x v="3"/>
    <s v="Red"/>
    <x v="5"/>
    <x v="1"/>
    <n v="36.909999999999997"/>
    <n v="12"/>
    <n v="442.92"/>
  </r>
  <r>
    <s v="S102"/>
    <x v="4"/>
    <x v="3"/>
    <x v="3"/>
    <s v="White"/>
    <x v="3"/>
    <x v="2"/>
    <n v="170.01"/>
    <n v="20"/>
    <n v="3400.2"/>
  </r>
  <r>
    <s v="S103"/>
    <x v="95"/>
    <x v="5"/>
    <x v="4"/>
    <s v="Green"/>
    <x v="2"/>
    <x v="2"/>
    <n v="99.16"/>
    <n v="1"/>
    <n v="99.16"/>
  </r>
  <r>
    <s v="S104"/>
    <x v="96"/>
    <x v="3"/>
    <x v="5"/>
    <s v="Grey"/>
    <x v="1"/>
    <x v="2"/>
    <n v="141.88999999999999"/>
    <n v="15"/>
    <n v="2128.35"/>
  </r>
  <r>
    <s v="S105"/>
    <x v="97"/>
    <x v="1"/>
    <x v="1"/>
    <s v="Black"/>
    <x v="2"/>
    <x v="2"/>
    <n v="229.66"/>
    <n v="19"/>
    <n v="4363.54"/>
  </r>
  <r>
    <s v="S106"/>
    <x v="98"/>
    <x v="3"/>
    <x v="1"/>
    <s v="Blue"/>
    <x v="6"/>
    <x v="2"/>
    <n v="84.84"/>
    <n v="15"/>
    <n v="1272.5999999999999"/>
  </r>
  <r>
    <s v="S107"/>
    <x v="99"/>
    <x v="4"/>
    <x v="4"/>
    <s v="Red"/>
    <x v="3"/>
    <x v="2"/>
    <n v="120.28"/>
    <n v="15"/>
    <n v="1804.2"/>
  </r>
  <r>
    <s v="S108"/>
    <x v="100"/>
    <x v="5"/>
    <x v="1"/>
    <s v="Green"/>
    <x v="5"/>
    <x v="0"/>
    <n v="196.22"/>
    <n v="3"/>
    <n v="588.66"/>
  </r>
  <r>
    <s v="S109"/>
    <x v="101"/>
    <x v="1"/>
    <x v="1"/>
    <s v="Green"/>
    <x v="1"/>
    <x v="0"/>
    <n v="80.34"/>
    <n v="8"/>
    <n v="642.72"/>
  </r>
  <r>
    <s v="S110"/>
    <x v="102"/>
    <x v="0"/>
    <x v="5"/>
    <s v="White"/>
    <x v="0"/>
    <x v="0"/>
    <n v="46.94"/>
    <n v="7"/>
    <n v="328.58"/>
  </r>
  <r>
    <s v="S111"/>
    <x v="78"/>
    <x v="2"/>
    <x v="2"/>
    <s v="Red"/>
    <x v="2"/>
    <x v="2"/>
    <n v="93.75"/>
    <n v="4"/>
    <n v="375"/>
  </r>
  <r>
    <s v="S112"/>
    <x v="103"/>
    <x v="2"/>
    <x v="5"/>
    <s v="Green"/>
    <x v="2"/>
    <x v="0"/>
    <n v="65.47"/>
    <n v="6"/>
    <n v="392.82"/>
  </r>
  <r>
    <s v="S113"/>
    <x v="104"/>
    <x v="0"/>
    <x v="5"/>
    <s v="Black"/>
    <x v="3"/>
    <x v="1"/>
    <n v="234.53"/>
    <n v="10"/>
    <n v="2345.3000000000002"/>
  </r>
  <r>
    <s v="S114"/>
    <x v="105"/>
    <x v="5"/>
    <x v="0"/>
    <s v="White"/>
    <x v="1"/>
    <x v="1"/>
    <n v="207.79"/>
    <n v="13"/>
    <n v="2701.27"/>
  </r>
  <r>
    <s v="S115"/>
    <x v="29"/>
    <x v="0"/>
    <x v="0"/>
    <s v="Blue"/>
    <x v="4"/>
    <x v="1"/>
    <n v="169.35"/>
    <n v="8"/>
    <n v="1354.8"/>
  </r>
  <r>
    <s v="S116"/>
    <x v="106"/>
    <x v="2"/>
    <x v="1"/>
    <s v="Blue"/>
    <x v="5"/>
    <x v="2"/>
    <n v="221.72"/>
    <n v="4"/>
    <n v="886.88"/>
  </r>
  <r>
    <s v="S117"/>
    <x v="107"/>
    <x v="0"/>
    <x v="5"/>
    <s v="Green"/>
    <x v="3"/>
    <x v="0"/>
    <n v="206.81"/>
    <n v="12"/>
    <n v="2481.7199999999998"/>
  </r>
  <r>
    <s v="S118"/>
    <x v="108"/>
    <x v="0"/>
    <x v="3"/>
    <s v="Blue"/>
    <x v="2"/>
    <x v="2"/>
    <n v="71.05"/>
    <n v="16"/>
    <n v="1136.8"/>
  </r>
  <r>
    <s v="S119"/>
    <x v="109"/>
    <x v="5"/>
    <x v="2"/>
    <s v="Green"/>
    <x v="5"/>
    <x v="1"/>
    <n v="226.36"/>
    <n v="5"/>
    <n v="1131.8"/>
  </r>
  <r>
    <s v="S120"/>
    <x v="110"/>
    <x v="2"/>
    <x v="3"/>
    <s v="Red"/>
    <x v="6"/>
    <x v="1"/>
    <n v="148.66"/>
    <n v="20"/>
    <n v="2973.2"/>
  </r>
  <r>
    <s v="S121"/>
    <x v="97"/>
    <x v="4"/>
    <x v="2"/>
    <s v="Black"/>
    <x v="3"/>
    <x v="2"/>
    <n v="207.64"/>
    <n v="9"/>
    <n v="1868.76"/>
  </r>
  <r>
    <s v="S122"/>
    <x v="111"/>
    <x v="2"/>
    <x v="5"/>
    <s v="Green"/>
    <x v="6"/>
    <x v="2"/>
    <n v="227.14"/>
    <n v="15"/>
    <n v="3407.1"/>
  </r>
  <r>
    <s v="S123"/>
    <x v="112"/>
    <x v="4"/>
    <x v="2"/>
    <s v="Red"/>
    <x v="0"/>
    <x v="2"/>
    <n v="99.96"/>
    <n v="16"/>
    <n v="1599.36"/>
  </r>
  <r>
    <s v="S124"/>
    <x v="113"/>
    <x v="4"/>
    <x v="5"/>
    <s v="Green"/>
    <x v="3"/>
    <x v="1"/>
    <n v="54.21"/>
    <n v="11"/>
    <n v="596.30999999999995"/>
  </r>
  <r>
    <s v="S125"/>
    <x v="114"/>
    <x v="3"/>
    <x v="1"/>
    <s v="White"/>
    <x v="2"/>
    <x v="2"/>
    <n v="80.150000000000006"/>
    <n v="17"/>
    <n v="1362.55"/>
  </r>
  <r>
    <s v="S126"/>
    <x v="115"/>
    <x v="3"/>
    <x v="0"/>
    <s v="Red"/>
    <x v="2"/>
    <x v="1"/>
    <n v="123.96"/>
    <n v="18"/>
    <n v="2231.2800000000002"/>
  </r>
  <r>
    <s v="S127"/>
    <x v="116"/>
    <x v="0"/>
    <x v="1"/>
    <s v="Blue"/>
    <x v="0"/>
    <x v="2"/>
    <n v="209.96"/>
    <n v="15"/>
    <n v="3149.4"/>
  </r>
  <r>
    <s v="S128"/>
    <x v="117"/>
    <x v="4"/>
    <x v="0"/>
    <s v="Grey"/>
    <x v="3"/>
    <x v="2"/>
    <n v="219.36"/>
    <n v="8"/>
    <n v="1754.88"/>
  </r>
  <r>
    <s v="S129"/>
    <x v="53"/>
    <x v="4"/>
    <x v="3"/>
    <s v="Green"/>
    <x v="5"/>
    <x v="2"/>
    <n v="31.53"/>
    <n v="17"/>
    <n v="536.01"/>
  </r>
  <r>
    <s v="S130"/>
    <x v="118"/>
    <x v="4"/>
    <x v="4"/>
    <s v="Blue"/>
    <x v="0"/>
    <x v="0"/>
    <n v="142.36000000000001"/>
    <n v="15"/>
    <n v="2135.4"/>
  </r>
  <r>
    <s v="S131"/>
    <x v="119"/>
    <x v="0"/>
    <x v="0"/>
    <s v="Grey"/>
    <x v="4"/>
    <x v="1"/>
    <n v="121.83"/>
    <n v="11"/>
    <n v="1340.13"/>
  </r>
  <r>
    <s v="S132"/>
    <x v="120"/>
    <x v="3"/>
    <x v="0"/>
    <s v="Red"/>
    <x v="3"/>
    <x v="1"/>
    <n v="78.86"/>
    <n v="7"/>
    <n v="552.02"/>
  </r>
  <r>
    <s v="S133"/>
    <x v="121"/>
    <x v="2"/>
    <x v="4"/>
    <s v="Black"/>
    <x v="4"/>
    <x v="0"/>
    <n v="56.37"/>
    <n v="17"/>
    <n v="958.29"/>
  </r>
  <r>
    <s v="S134"/>
    <x v="122"/>
    <x v="4"/>
    <x v="2"/>
    <s v="Blue"/>
    <x v="1"/>
    <x v="1"/>
    <n v="104.28"/>
    <n v="8"/>
    <n v="834.24"/>
  </r>
  <r>
    <s v="S135"/>
    <x v="123"/>
    <x v="4"/>
    <x v="1"/>
    <s v="Black"/>
    <x v="5"/>
    <x v="2"/>
    <n v="237.44"/>
    <n v="5"/>
    <n v="1187.2"/>
  </r>
  <r>
    <s v="S136"/>
    <x v="124"/>
    <x v="1"/>
    <x v="3"/>
    <s v="Black"/>
    <x v="4"/>
    <x v="0"/>
    <n v="101.1"/>
    <n v="5"/>
    <n v="505.5"/>
  </r>
  <r>
    <s v="S137"/>
    <x v="125"/>
    <x v="5"/>
    <x v="3"/>
    <s v="Red"/>
    <x v="3"/>
    <x v="0"/>
    <n v="144.13"/>
    <n v="10"/>
    <n v="1441.3"/>
  </r>
  <r>
    <s v="S138"/>
    <x v="126"/>
    <x v="5"/>
    <x v="1"/>
    <s v="Black"/>
    <x v="6"/>
    <x v="2"/>
    <n v="184.66"/>
    <n v="9"/>
    <n v="1661.94"/>
  </r>
  <r>
    <s v="S139"/>
    <x v="50"/>
    <x v="1"/>
    <x v="0"/>
    <s v="Black"/>
    <x v="0"/>
    <x v="0"/>
    <n v="110"/>
    <n v="19"/>
    <n v="2090"/>
  </r>
  <r>
    <s v="S140"/>
    <x v="127"/>
    <x v="0"/>
    <x v="2"/>
    <s v="Black"/>
    <x v="5"/>
    <x v="2"/>
    <n v="243.79"/>
    <n v="10"/>
    <n v="2437.9"/>
  </r>
  <r>
    <s v="S141"/>
    <x v="128"/>
    <x v="2"/>
    <x v="2"/>
    <s v="Grey"/>
    <x v="6"/>
    <x v="2"/>
    <n v="241.74"/>
    <n v="20"/>
    <n v="4834.8"/>
  </r>
  <r>
    <s v="S142"/>
    <x v="58"/>
    <x v="2"/>
    <x v="3"/>
    <s v="Blue"/>
    <x v="5"/>
    <x v="1"/>
    <n v="85.39"/>
    <n v="10"/>
    <n v="853.9"/>
  </r>
  <r>
    <s v="S143"/>
    <x v="41"/>
    <x v="1"/>
    <x v="1"/>
    <s v="White"/>
    <x v="2"/>
    <x v="0"/>
    <n v="139.38999999999999"/>
    <n v="20"/>
    <n v="2787.8"/>
  </r>
  <r>
    <s v="S144"/>
    <x v="49"/>
    <x v="3"/>
    <x v="2"/>
    <s v="White"/>
    <x v="5"/>
    <x v="0"/>
    <n v="96.19"/>
    <n v="3"/>
    <n v="288.57"/>
  </r>
  <r>
    <s v="S145"/>
    <x v="129"/>
    <x v="5"/>
    <x v="3"/>
    <s v="Green"/>
    <x v="5"/>
    <x v="2"/>
    <n v="92.66"/>
    <n v="1"/>
    <n v="92.66"/>
  </r>
  <r>
    <s v="S146"/>
    <x v="130"/>
    <x v="3"/>
    <x v="4"/>
    <s v="Green"/>
    <x v="3"/>
    <x v="1"/>
    <n v="38.119999999999997"/>
    <n v="2"/>
    <n v="76.239999999999995"/>
  </r>
  <r>
    <s v="S147"/>
    <x v="131"/>
    <x v="1"/>
    <x v="2"/>
    <s v="Blue"/>
    <x v="4"/>
    <x v="1"/>
    <n v="164.1"/>
    <n v="3"/>
    <n v="492.3"/>
  </r>
  <r>
    <s v="S148"/>
    <x v="121"/>
    <x v="5"/>
    <x v="1"/>
    <s v="Grey"/>
    <x v="0"/>
    <x v="1"/>
    <n v="140.59"/>
    <n v="7"/>
    <n v="984.13"/>
  </r>
  <r>
    <s v="S149"/>
    <x v="132"/>
    <x v="3"/>
    <x v="1"/>
    <s v="Black"/>
    <x v="0"/>
    <x v="2"/>
    <n v="41.33"/>
    <n v="9"/>
    <n v="371.97"/>
  </r>
  <r>
    <s v="S150"/>
    <x v="133"/>
    <x v="4"/>
    <x v="3"/>
    <s v="Black"/>
    <x v="6"/>
    <x v="1"/>
    <n v="91.3"/>
    <n v="19"/>
    <n v="1734.7"/>
  </r>
  <r>
    <s v="S151"/>
    <x v="76"/>
    <x v="4"/>
    <x v="5"/>
    <s v="Grey"/>
    <x v="6"/>
    <x v="2"/>
    <n v="229.82"/>
    <n v="13"/>
    <n v="2987.66"/>
  </r>
  <r>
    <s v="S152"/>
    <x v="134"/>
    <x v="0"/>
    <x v="3"/>
    <s v="Green"/>
    <x v="3"/>
    <x v="1"/>
    <n v="82.7"/>
    <n v="20"/>
    <n v="1654"/>
  </r>
  <r>
    <s v="S153"/>
    <x v="56"/>
    <x v="0"/>
    <x v="2"/>
    <s v="Green"/>
    <x v="4"/>
    <x v="1"/>
    <n v="61.88"/>
    <n v="1"/>
    <n v="61.88"/>
  </r>
  <r>
    <s v="S154"/>
    <x v="135"/>
    <x v="1"/>
    <x v="4"/>
    <s v="Grey"/>
    <x v="1"/>
    <x v="0"/>
    <n v="137.68"/>
    <n v="1"/>
    <n v="137.68"/>
  </r>
  <r>
    <s v="S155"/>
    <x v="136"/>
    <x v="1"/>
    <x v="3"/>
    <s v="Blue"/>
    <x v="0"/>
    <x v="1"/>
    <n v="246.84"/>
    <n v="17"/>
    <n v="4196.28"/>
  </r>
  <r>
    <s v="S156"/>
    <x v="137"/>
    <x v="0"/>
    <x v="3"/>
    <s v="Blue"/>
    <x v="6"/>
    <x v="2"/>
    <n v="83.25"/>
    <n v="16"/>
    <n v="1332"/>
  </r>
  <r>
    <s v="S157"/>
    <x v="77"/>
    <x v="3"/>
    <x v="4"/>
    <s v="Red"/>
    <x v="2"/>
    <x v="2"/>
    <n v="177.87"/>
    <n v="4"/>
    <n v="711.48"/>
  </r>
  <r>
    <s v="S158"/>
    <x v="138"/>
    <x v="2"/>
    <x v="1"/>
    <s v="Red"/>
    <x v="1"/>
    <x v="2"/>
    <n v="197.56"/>
    <n v="13"/>
    <n v="2568.2800000000002"/>
  </r>
  <r>
    <s v="S159"/>
    <x v="100"/>
    <x v="0"/>
    <x v="3"/>
    <s v="Grey"/>
    <x v="4"/>
    <x v="0"/>
    <n v="82.28"/>
    <n v="11"/>
    <n v="905.08"/>
  </r>
  <r>
    <s v="S160"/>
    <x v="139"/>
    <x v="5"/>
    <x v="3"/>
    <s v="Black"/>
    <x v="0"/>
    <x v="1"/>
    <n v="190.21"/>
    <n v="18"/>
    <n v="3423.78"/>
  </r>
  <r>
    <s v="S161"/>
    <x v="140"/>
    <x v="5"/>
    <x v="0"/>
    <s v="Red"/>
    <x v="4"/>
    <x v="0"/>
    <n v="110.91"/>
    <n v="20"/>
    <n v="2218.1999999999998"/>
  </r>
  <r>
    <s v="S162"/>
    <x v="141"/>
    <x v="2"/>
    <x v="2"/>
    <s v="Blue"/>
    <x v="6"/>
    <x v="1"/>
    <n v="169.11"/>
    <n v="9"/>
    <n v="1521.99"/>
  </r>
  <r>
    <s v="S163"/>
    <x v="95"/>
    <x v="0"/>
    <x v="0"/>
    <s v="Grey"/>
    <x v="4"/>
    <x v="0"/>
    <n v="169.38"/>
    <n v="4"/>
    <n v="677.52"/>
  </r>
  <r>
    <s v="S164"/>
    <x v="142"/>
    <x v="4"/>
    <x v="5"/>
    <s v="Black"/>
    <x v="5"/>
    <x v="2"/>
    <n v="147.87"/>
    <n v="6"/>
    <n v="887.22"/>
  </r>
  <r>
    <s v="S165"/>
    <x v="143"/>
    <x v="0"/>
    <x v="3"/>
    <s v="Black"/>
    <x v="2"/>
    <x v="0"/>
    <n v="49.86"/>
    <n v="8"/>
    <n v="398.88"/>
  </r>
  <r>
    <s v="S166"/>
    <x v="144"/>
    <x v="2"/>
    <x v="0"/>
    <s v="Blue"/>
    <x v="6"/>
    <x v="2"/>
    <n v="213.77"/>
    <n v="10"/>
    <n v="2137.6999999999998"/>
  </r>
  <r>
    <s v="S167"/>
    <x v="145"/>
    <x v="5"/>
    <x v="5"/>
    <s v="White"/>
    <x v="6"/>
    <x v="0"/>
    <n v="100.57"/>
    <n v="8"/>
    <n v="804.56"/>
  </r>
  <r>
    <s v="S168"/>
    <x v="146"/>
    <x v="1"/>
    <x v="2"/>
    <s v="Black"/>
    <x v="3"/>
    <x v="2"/>
    <n v="71.03"/>
    <n v="17"/>
    <n v="1207.51"/>
  </r>
  <r>
    <s v="S169"/>
    <x v="22"/>
    <x v="4"/>
    <x v="1"/>
    <s v="Blue"/>
    <x v="2"/>
    <x v="2"/>
    <n v="38.97"/>
    <n v="17"/>
    <n v="662.49"/>
  </r>
  <r>
    <s v="S170"/>
    <x v="135"/>
    <x v="1"/>
    <x v="3"/>
    <s v="White"/>
    <x v="6"/>
    <x v="1"/>
    <n v="160"/>
    <n v="19"/>
    <n v="3040"/>
  </r>
  <r>
    <s v="S171"/>
    <x v="147"/>
    <x v="4"/>
    <x v="5"/>
    <s v="Grey"/>
    <x v="6"/>
    <x v="2"/>
    <n v="179.06"/>
    <n v="12"/>
    <n v="2148.7199999999998"/>
  </r>
  <r>
    <s v="S172"/>
    <x v="77"/>
    <x v="1"/>
    <x v="2"/>
    <s v="Grey"/>
    <x v="6"/>
    <x v="0"/>
    <n v="33.65"/>
    <n v="7"/>
    <n v="235.55"/>
  </r>
  <r>
    <s v="S173"/>
    <x v="148"/>
    <x v="4"/>
    <x v="0"/>
    <s v="Red"/>
    <x v="2"/>
    <x v="2"/>
    <n v="142.66"/>
    <n v="2"/>
    <n v="285.32"/>
  </r>
  <r>
    <s v="S174"/>
    <x v="149"/>
    <x v="5"/>
    <x v="1"/>
    <s v="White"/>
    <x v="5"/>
    <x v="1"/>
    <n v="79.83"/>
    <n v="5"/>
    <n v="399.15"/>
  </r>
  <r>
    <s v="S175"/>
    <x v="92"/>
    <x v="5"/>
    <x v="1"/>
    <s v="Grey"/>
    <x v="6"/>
    <x v="0"/>
    <n v="171.94"/>
    <n v="4"/>
    <n v="687.76"/>
  </r>
  <r>
    <s v="S176"/>
    <x v="16"/>
    <x v="1"/>
    <x v="2"/>
    <s v="Black"/>
    <x v="6"/>
    <x v="2"/>
    <n v="68.36"/>
    <n v="14"/>
    <n v="957.04"/>
  </r>
  <r>
    <s v="S177"/>
    <x v="150"/>
    <x v="1"/>
    <x v="3"/>
    <s v="Green"/>
    <x v="1"/>
    <x v="2"/>
    <n v="182.01"/>
    <n v="20"/>
    <n v="3640.2"/>
  </r>
  <r>
    <s v="S178"/>
    <x v="151"/>
    <x v="5"/>
    <x v="4"/>
    <s v="Green"/>
    <x v="2"/>
    <x v="2"/>
    <n v="115.08"/>
    <n v="18"/>
    <n v="2071.44"/>
  </r>
  <r>
    <s v="S179"/>
    <x v="44"/>
    <x v="2"/>
    <x v="1"/>
    <s v="White"/>
    <x v="2"/>
    <x v="1"/>
    <n v="236.08"/>
    <n v="2"/>
    <n v="472.16"/>
  </r>
  <r>
    <s v="S180"/>
    <x v="138"/>
    <x v="1"/>
    <x v="1"/>
    <s v="Red"/>
    <x v="1"/>
    <x v="1"/>
    <n v="60.25"/>
    <n v="8"/>
    <n v="482"/>
  </r>
  <r>
    <s v="S181"/>
    <x v="52"/>
    <x v="5"/>
    <x v="2"/>
    <s v="Green"/>
    <x v="3"/>
    <x v="0"/>
    <n v="105.03"/>
    <n v="4"/>
    <n v="420.12"/>
  </r>
  <r>
    <s v="S182"/>
    <x v="152"/>
    <x v="0"/>
    <x v="4"/>
    <s v="Blue"/>
    <x v="3"/>
    <x v="2"/>
    <n v="54.96"/>
    <n v="11"/>
    <n v="604.55999999999995"/>
  </r>
  <r>
    <s v="S183"/>
    <x v="153"/>
    <x v="2"/>
    <x v="3"/>
    <s v="Grey"/>
    <x v="2"/>
    <x v="0"/>
    <n v="233.43"/>
    <n v="8"/>
    <n v="1867.44"/>
  </r>
  <r>
    <s v="S184"/>
    <x v="154"/>
    <x v="0"/>
    <x v="5"/>
    <s v="Red"/>
    <x v="5"/>
    <x v="1"/>
    <n v="223.01"/>
    <n v="6"/>
    <n v="1338.06"/>
  </r>
  <r>
    <s v="S185"/>
    <x v="155"/>
    <x v="2"/>
    <x v="2"/>
    <s v="White"/>
    <x v="6"/>
    <x v="1"/>
    <n v="86.75"/>
    <n v="16"/>
    <n v="1388"/>
  </r>
  <r>
    <s v="S186"/>
    <x v="156"/>
    <x v="4"/>
    <x v="0"/>
    <s v="Black"/>
    <x v="4"/>
    <x v="2"/>
    <n v="175.2"/>
    <n v="15"/>
    <n v="2628"/>
  </r>
  <r>
    <s v="S187"/>
    <x v="138"/>
    <x v="3"/>
    <x v="1"/>
    <s v="Red"/>
    <x v="3"/>
    <x v="1"/>
    <n v="209.79"/>
    <n v="18"/>
    <n v="3776.22"/>
  </r>
  <r>
    <s v="S188"/>
    <x v="157"/>
    <x v="1"/>
    <x v="4"/>
    <s v="Red"/>
    <x v="4"/>
    <x v="2"/>
    <n v="152.13999999999999"/>
    <n v="14"/>
    <n v="2129.96"/>
  </r>
  <r>
    <s v="S189"/>
    <x v="158"/>
    <x v="5"/>
    <x v="1"/>
    <s v="White"/>
    <x v="6"/>
    <x v="1"/>
    <n v="146.52000000000001"/>
    <n v="13"/>
    <n v="1904.76"/>
  </r>
  <r>
    <s v="S190"/>
    <x v="61"/>
    <x v="4"/>
    <x v="0"/>
    <s v="Blue"/>
    <x v="1"/>
    <x v="1"/>
    <n v="83.21"/>
    <n v="19"/>
    <n v="1580.99"/>
  </r>
  <r>
    <s v="S191"/>
    <x v="159"/>
    <x v="0"/>
    <x v="5"/>
    <s v="Green"/>
    <x v="4"/>
    <x v="1"/>
    <n v="50.48"/>
    <n v="9"/>
    <n v="454.32"/>
  </r>
  <r>
    <s v="S192"/>
    <x v="160"/>
    <x v="1"/>
    <x v="3"/>
    <s v="Blue"/>
    <x v="4"/>
    <x v="0"/>
    <n v="227.39"/>
    <n v="20"/>
    <n v="4547.8"/>
  </r>
  <r>
    <s v="S193"/>
    <x v="128"/>
    <x v="3"/>
    <x v="0"/>
    <s v="White"/>
    <x v="5"/>
    <x v="2"/>
    <n v="228.09"/>
    <n v="12"/>
    <n v="2737.08"/>
  </r>
  <r>
    <s v="S194"/>
    <x v="67"/>
    <x v="1"/>
    <x v="1"/>
    <s v="Green"/>
    <x v="2"/>
    <x v="0"/>
    <n v="169.28"/>
    <n v="5"/>
    <n v="846.4"/>
  </r>
  <r>
    <s v="S195"/>
    <x v="73"/>
    <x v="0"/>
    <x v="5"/>
    <s v="Blue"/>
    <x v="2"/>
    <x v="0"/>
    <n v="104.59"/>
    <n v="15"/>
    <n v="1568.85"/>
  </r>
  <r>
    <s v="S196"/>
    <x v="161"/>
    <x v="4"/>
    <x v="0"/>
    <s v="Red"/>
    <x v="0"/>
    <x v="0"/>
    <n v="106.83"/>
    <n v="10"/>
    <n v="1068.3"/>
  </r>
  <r>
    <s v="S197"/>
    <x v="162"/>
    <x v="4"/>
    <x v="5"/>
    <s v="Grey"/>
    <x v="3"/>
    <x v="0"/>
    <n v="189.71"/>
    <n v="18"/>
    <n v="3414.78"/>
  </r>
  <r>
    <s v="S198"/>
    <x v="163"/>
    <x v="4"/>
    <x v="0"/>
    <s v="Blue"/>
    <x v="4"/>
    <x v="0"/>
    <n v="227.36"/>
    <n v="16"/>
    <n v="3637.76"/>
  </r>
  <r>
    <s v="S199"/>
    <x v="164"/>
    <x v="3"/>
    <x v="2"/>
    <s v="Green"/>
    <x v="2"/>
    <x v="1"/>
    <n v="225.16"/>
    <n v="3"/>
    <n v="675.48"/>
  </r>
  <r>
    <s v="S200"/>
    <x v="165"/>
    <x v="4"/>
    <x v="1"/>
    <s v="Red"/>
    <x v="1"/>
    <x v="2"/>
    <n v="201.57"/>
    <n v="18"/>
    <n v="3628.26"/>
  </r>
  <r>
    <s v="S201"/>
    <x v="166"/>
    <x v="5"/>
    <x v="4"/>
    <s v="Green"/>
    <x v="2"/>
    <x v="1"/>
    <n v="171.25"/>
    <n v="4"/>
    <n v="685"/>
  </r>
  <r>
    <s v="S202"/>
    <x v="17"/>
    <x v="5"/>
    <x v="0"/>
    <s v="Blue"/>
    <x v="1"/>
    <x v="1"/>
    <n v="48.51"/>
    <n v="19"/>
    <n v="921.69"/>
  </r>
  <r>
    <s v="S203"/>
    <x v="167"/>
    <x v="0"/>
    <x v="5"/>
    <s v="Grey"/>
    <x v="3"/>
    <x v="1"/>
    <n v="65.56"/>
    <n v="16"/>
    <n v="1048.96"/>
  </r>
  <r>
    <s v="S204"/>
    <x v="168"/>
    <x v="1"/>
    <x v="3"/>
    <s v="Green"/>
    <x v="3"/>
    <x v="1"/>
    <n v="227.68"/>
    <n v="3"/>
    <n v="683.04"/>
  </r>
  <r>
    <s v="S205"/>
    <x v="169"/>
    <x v="3"/>
    <x v="1"/>
    <s v="Black"/>
    <x v="3"/>
    <x v="2"/>
    <n v="163.41"/>
    <n v="4"/>
    <n v="653.64"/>
  </r>
  <r>
    <s v="S206"/>
    <x v="170"/>
    <x v="3"/>
    <x v="5"/>
    <s v="White"/>
    <x v="6"/>
    <x v="2"/>
    <n v="32.020000000000003"/>
    <n v="4"/>
    <n v="128.08000000000001"/>
  </r>
  <r>
    <s v="S207"/>
    <x v="171"/>
    <x v="5"/>
    <x v="5"/>
    <s v="Green"/>
    <x v="2"/>
    <x v="0"/>
    <n v="52.32"/>
    <n v="18"/>
    <n v="941.76"/>
  </r>
  <r>
    <s v="S208"/>
    <x v="172"/>
    <x v="5"/>
    <x v="5"/>
    <s v="Red"/>
    <x v="3"/>
    <x v="0"/>
    <n v="175.97"/>
    <n v="4"/>
    <n v="703.88"/>
  </r>
  <r>
    <s v="S209"/>
    <x v="29"/>
    <x v="3"/>
    <x v="3"/>
    <s v="Red"/>
    <x v="0"/>
    <x v="2"/>
    <n v="31.11"/>
    <n v="12"/>
    <n v="373.32"/>
  </r>
  <r>
    <s v="S210"/>
    <x v="39"/>
    <x v="2"/>
    <x v="0"/>
    <s v="Blue"/>
    <x v="1"/>
    <x v="2"/>
    <n v="65.38"/>
    <n v="12"/>
    <n v="784.56"/>
  </r>
  <r>
    <s v="S211"/>
    <x v="173"/>
    <x v="0"/>
    <x v="3"/>
    <s v="Black"/>
    <x v="2"/>
    <x v="0"/>
    <n v="150.72"/>
    <n v="7"/>
    <n v="1055.04"/>
  </r>
  <r>
    <s v="S212"/>
    <x v="174"/>
    <x v="0"/>
    <x v="1"/>
    <s v="Blue"/>
    <x v="0"/>
    <x v="0"/>
    <n v="182.22"/>
    <n v="20"/>
    <n v="3644.4"/>
  </r>
  <r>
    <s v="S213"/>
    <x v="175"/>
    <x v="0"/>
    <x v="5"/>
    <s v="White"/>
    <x v="5"/>
    <x v="0"/>
    <n v="173.43"/>
    <n v="7"/>
    <n v="1214.01"/>
  </r>
  <r>
    <s v="S214"/>
    <x v="167"/>
    <x v="3"/>
    <x v="5"/>
    <s v="Black"/>
    <x v="3"/>
    <x v="0"/>
    <n v="79.34"/>
    <n v="11"/>
    <n v="872.74"/>
  </r>
  <r>
    <s v="S215"/>
    <x v="176"/>
    <x v="4"/>
    <x v="2"/>
    <s v="Black"/>
    <x v="2"/>
    <x v="0"/>
    <n v="186.68"/>
    <n v="18"/>
    <n v="3360.24"/>
  </r>
  <r>
    <s v="S216"/>
    <x v="162"/>
    <x v="4"/>
    <x v="2"/>
    <s v="Grey"/>
    <x v="3"/>
    <x v="0"/>
    <n v="82.19"/>
    <n v="1"/>
    <n v="82.19"/>
  </r>
  <r>
    <s v="S217"/>
    <x v="75"/>
    <x v="0"/>
    <x v="2"/>
    <s v="Green"/>
    <x v="6"/>
    <x v="1"/>
    <n v="101.59"/>
    <n v="9"/>
    <n v="914.31"/>
  </r>
  <r>
    <s v="S218"/>
    <x v="177"/>
    <x v="5"/>
    <x v="3"/>
    <s v="Blue"/>
    <x v="5"/>
    <x v="1"/>
    <n v="194.23"/>
    <n v="3"/>
    <n v="582.69000000000005"/>
  </r>
  <r>
    <s v="S219"/>
    <x v="178"/>
    <x v="2"/>
    <x v="2"/>
    <s v="Grey"/>
    <x v="1"/>
    <x v="1"/>
    <n v="172.92"/>
    <n v="15"/>
    <n v="2593.8000000000002"/>
  </r>
  <r>
    <s v="S220"/>
    <x v="179"/>
    <x v="4"/>
    <x v="3"/>
    <s v="Green"/>
    <x v="1"/>
    <x v="0"/>
    <n v="216.83"/>
    <n v="17"/>
    <n v="3686.11"/>
  </r>
  <r>
    <s v="S221"/>
    <x v="180"/>
    <x v="5"/>
    <x v="0"/>
    <s v="Black"/>
    <x v="6"/>
    <x v="1"/>
    <n v="174.67"/>
    <n v="13"/>
    <n v="2270.71"/>
  </r>
  <r>
    <s v="S222"/>
    <x v="181"/>
    <x v="0"/>
    <x v="4"/>
    <s v="Grey"/>
    <x v="0"/>
    <x v="0"/>
    <n v="155.03"/>
    <n v="3"/>
    <n v="465.09"/>
  </r>
  <r>
    <s v="S223"/>
    <x v="27"/>
    <x v="2"/>
    <x v="0"/>
    <s v="Grey"/>
    <x v="5"/>
    <x v="1"/>
    <n v="50.61"/>
    <n v="9"/>
    <n v="455.49"/>
  </r>
  <r>
    <s v="S224"/>
    <x v="182"/>
    <x v="2"/>
    <x v="5"/>
    <s v="Blue"/>
    <x v="6"/>
    <x v="1"/>
    <n v="110.9"/>
    <n v="13"/>
    <n v="1441.7"/>
  </r>
  <r>
    <s v="S225"/>
    <x v="7"/>
    <x v="0"/>
    <x v="0"/>
    <s v="Black"/>
    <x v="4"/>
    <x v="1"/>
    <n v="88.34"/>
    <n v="14"/>
    <n v="1236.76"/>
  </r>
  <r>
    <s v="S226"/>
    <x v="183"/>
    <x v="1"/>
    <x v="2"/>
    <s v="Red"/>
    <x v="6"/>
    <x v="0"/>
    <n v="83.68"/>
    <n v="18"/>
    <n v="1506.24"/>
  </r>
  <r>
    <s v="S227"/>
    <x v="184"/>
    <x v="5"/>
    <x v="3"/>
    <s v="Red"/>
    <x v="2"/>
    <x v="0"/>
    <n v="244.06"/>
    <n v="11"/>
    <n v="2684.66"/>
  </r>
  <r>
    <s v="S228"/>
    <x v="69"/>
    <x v="4"/>
    <x v="0"/>
    <s v="Blue"/>
    <x v="3"/>
    <x v="0"/>
    <n v="116.48"/>
    <n v="14"/>
    <n v="1630.72"/>
  </r>
  <r>
    <s v="S229"/>
    <x v="185"/>
    <x v="0"/>
    <x v="1"/>
    <s v="Black"/>
    <x v="1"/>
    <x v="2"/>
    <n v="226.25"/>
    <n v="16"/>
    <n v="3620"/>
  </r>
  <r>
    <s v="S230"/>
    <x v="35"/>
    <x v="3"/>
    <x v="5"/>
    <s v="Black"/>
    <x v="5"/>
    <x v="1"/>
    <n v="168.85"/>
    <n v="12"/>
    <n v="2026.2"/>
  </r>
  <r>
    <s v="S231"/>
    <x v="186"/>
    <x v="1"/>
    <x v="1"/>
    <s v="Red"/>
    <x v="3"/>
    <x v="1"/>
    <n v="204.86"/>
    <n v="11"/>
    <n v="2253.46"/>
  </r>
  <r>
    <s v="S232"/>
    <x v="2"/>
    <x v="4"/>
    <x v="5"/>
    <s v="Blue"/>
    <x v="3"/>
    <x v="0"/>
    <n v="140.58000000000001"/>
    <n v="2"/>
    <n v="281.16000000000003"/>
  </r>
  <r>
    <s v="S233"/>
    <x v="9"/>
    <x v="3"/>
    <x v="2"/>
    <s v="Green"/>
    <x v="6"/>
    <x v="0"/>
    <n v="156.91999999999999"/>
    <n v="17"/>
    <n v="2667.64"/>
  </r>
  <r>
    <s v="S234"/>
    <x v="178"/>
    <x v="2"/>
    <x v="4"/>
    <s v="Black"/>
    <x v="4"/>
    <x v="2"/>
    <n v="138.35"/>
    <n v="12"/>
    <n v="1660.2"/>
  </r>
  <r>
    <s v="S235"/>
    <x v="125"/>
    <x v="5"/>
    <x v="5"/>
    <s v="Grey"/>
    <x v="5"/>
    <x v="1"/>
    <n v="72.95"/>
    <n v="8"/>
    <n v="583.6"/>
  </r>
  <r>
    <s v="S236"/>
    <x v="187"/>
    <x v="0"/>
    <x v="5"/>
    <s v="Green"/>
    <x v="4"/>
    <x v="1"/>
    <n v="188.94"/>
    <n v="18"/>
    <n v="3400.92"/>
  </r>
  <r>
    <s v="S237"/>
    <x v="12"/>
    <x v="3"/>
    <x v="4"/>
    <s v="Green"/>
    <x v="4"/>
    <x v="2"/>
    <n v="91.77"/>
    <n v="1"/>
    <n v="91.77"/>
  </r>
  <r>
    <s v="S238"/>
    <x v="150"/>
    <x v="0"/>
    <x v="2"/>
    <s v="White"/>
    <x v="5"/>
    <x v="1"/>
    <n v="35.35"/>
    <n v="12"/>
    <n v="424.2"/>
  </r>
  <r>
    <s v="S239"/>
    <x v="188"/>
    <x v="3"/>
    <x v="0"/>
    <s v="Green"/>
    <x v="1"/>
    <x v="0"/>
    <n v="172"/>
    <n v="3"/>
    <n v="516"/>
  </r>
  <r>
    <s v="S240"/>
    <x v="189"/>
    <x v="5"/>
    <x v="3"/>
    <s v="Red"/>
    <x v="3"/>
    <x v="0"/>
    <n v="68.959999999999994"/>
    <n v="7"/>
    <n v="482.72"/>
  </r>
  <r>
    <s v="S241"/>
    <x v="171"/>
    <x v="1"/>
    <x v="4"/>
    <s v="Grey"/>
    <x v="5"/>
    <x v="0"/>
    <n v="236.9"/>
    <n v="10"/>
    <n v="2369"/>
  </r>
  <r>
    <s v="S242"/>
    <x v="126"/>
    <x v="3"/>
    <x v="5"/>
    <s v="Black"/>
    <x v="2"/>
    <x v="0"/>
    <n v="239.86"/>
    <n v="5"/>
    <n v="1199.3"/>
  </r>
  <r>
    <s v="S243"/>
    <x v="190"/>
    <x v="1"/>
    <x v="3"/>
    <s v="Red"/>
    <x v="5"/>
    <x v="2"/>
    <n v="231.27"/>
    <n v="15"/>
    <n v="3469.05"/>
  </r>
  <r>
    <s v="S244"/>
    <x v="172"/>
    <x v="3"/>
    <x v="5"/>
    <s v="Black"/>
    <x v="3"/>
    <x v="2"/>
    <n v="111.43"/>
    <n v="9"/>
    <n v="1002.87"/>
  </r>
  <r>
    <s v="S245"/>
    <x v="191"/>
    <x v="1"/>
    <x v="0"/>
    <s v="Grey"/>
    <x v="6"/>
    <x v="1"/>
    <n v="33.4"/>
    <n v="10"/>
    <n v="334"/>
  </r>
  <r>
    <s v="S246"/>
    <x v="192"/>
    <x v="0"/>
    <x v="2"/>
    <s v="Red"/>
    <x v="5"/>
    <x v="0"/>
    <n v="234.23"/>
    <n v="10"/>
    <n v="2342.3000000000002"/>
  </r>
  <r>
    <s v="S247"/>
    <x v="94"/>
    <x v="4"/>
    <x v="2"/>
    <s v="White"/>
    <x v="4"/>
    <x v="2"/>
    <n v="124.2"/>
    <n v="7"/>
    <n v="869.4"/>
  </r>
  <r>
    <s v="S248"/>
    <x v="10"/>
    <x v="0"/>
    <x v="1"/>
    <s v="Red"/>
    <x v="2"/>
    <x v="2"/>
    <n v="242.66"/>
    <n v="11"/>
    <n v="2669.26"/>
  </r>
  <r>
    <s v="S249"/>
    <x v="75"/>
    <x v="5"/>
    <x v="5"/>
    <s v="Green"/>
    <x v="0"/>
    <x v="1"/>
    <n v="242"/>
    <n v="5"/>
    <n v="1210"/>
  </r>
  <r>
    <s v="S250"/>
    <x v="62"/>
    <x v="0"/>
    <x v="3"/>
    <s v="Green"/>
    <x v="1"/>
    <x v="2"/>
    <n v="217.66"/>
    <n v="12"/>
    <n v="2611.92"/>
  </r>
  <r>
    <s v="S251"/>
    <x v="193"/>
    <x v="0"/>
    <x v="4"/>
    <s v="Grey"/>
    <x v="6"/>
    <x v="1"/>
    <n v="94.78"/>
    <n v="15"/>
    <n v="1421.7"/>
  </r>
  <r>
    <s v="S252"/>
    <x v="194"/>
    <x v="4"/>
    <x v="1"/>
    <s v="Red"/>
    <x v="1"/>
    <x v="2"/>
    <n v="114.72"/>
    <n v="14"/>
    <n v="1606.08"/>
  </r>
  <r>
    <s v="S253"/>
    <x v="154"/>
    <x v="5"/>
    <x v="0"/>
    <s v="Blue"/>
    <x v="1"/>
    <x v="2"/>
    <n v="217.25"/>
    <n v="20"/>
    <n v="4345"/>
  </r>
  <r>
    <s v="S254"/>
    <x v="54"/>
    <x v="5"/>
    <x v="5"/>
    <s v="Red"/>
    <x v="5"/>
    <x v="0"/>
    <n v="99.72"/>
    <n v="8"/>
    <n v="797.76"/>
  </r>
  <r>
    <s v="S255"/>
    <x v="159"/>
    <x v="1"/>
    <x v="4"/>
    <s v="White"/>
    <x v="3"/>
    <x v="0"/>
    <n v="67.290000000000006"/>
    <n v="10"/>
    <n v="672.9"/>
  </r>
  <r>
    <s v="S256"/>
    <x v="195"/>
    <x v="1"/>
    <x v="1"/>
    <s v="Grey"/>
    <x v="5"/>
    <x v="0"/>
    <n v="152.5"/>
    <n v="17"/>
    <n v="2592.5"/>
  </r>
  <r>
    <s v="S257"/>
    <x v="196"/>
    <x v="1"/>
    <x v="0"/>
    <s v="White"/>
    <x v="0"/>
    <x v="0"/>
    <n v="235.95"/>
    <n v="12"/>
    <n v="2831.4"/>
  </r>
  <r>
    <s v="S258"/>
    <x v="153"/>
    <x v="3"/>
    <x v="2"/>
    <s v="Grey"/>
    <x v="0"/>
    <x v="1"/>
    <n v="183.13"/>
    <n v="9"/>
    <n v="1648.17"/>
  </r>
  <r>
    <s v="S259"/>
    <x v="59"/>
    <x v="1"/>
    <x v="3"/>
    <s v="Red"/>
    <x v="4"/>
    <x v="1"/>
    <n v="155.41"/>
    <n v="6"/>
    <n v="932.46"/>
  </r>
  <r>
    <s v="S260"/>
    <x v="197"/>
    <x v="1"/>
    <x v="5"/>
    <s v="Green"/>
    <x v="2"/>
    <x v="1"/>
    <n v="51.38"/>
    <n v="15"/>
    <n v="770.7"/>
  </r>
  <r>
    <s v="S261"/>
    <x v="198"/>
    <x v="3"/>
    <x v="3"/>
    <s v="Black"/>
    <x v="6"/>
    <x v="2"/>
    <n v="165.3"/>
    <n v="11"/>
    <n v="1818.3"/>
  </r>
  <r>
    <s v="S262"/>
    <x v="199"/>
    <x v="4"/>
    <x v="5"/>
    <s v="Black"/>
    <x v="3"/>
    <x v="1"/>
    <n v="247.81"/>
    <n v="10"/>
    <n v="2478.1"/>
  </r>
  <r>
    <s v="S263"/>
    <x v="50"/>
    <x v="5"/>
    <x v="3"/>
    <s v="Black"/>
    <x v="1"/>
    <x v="2"/>
    <n v="60.82"/>
    <n v="10"/>
    <n v="608.20000000000005"/>
  </r>
  <r>
    <s v="S264"/>
    <x v="42"/>
    <x v="1"/>
    <x v="1"/>
    <s v="Grey"/>
    <x v="5"/>
    <x v="1"/>
    <n v="144.03"/>
    <n v="3"/>
    <n v="432.09"/>
  </r>
  <r>
    <s v="S265"/>
    <x v="200"/>
    <x v="2"/>
    <x v="5"/>
    <s v="Green"/>
    <x v="1"/>
    <x v="2"/>
    <n v="223.02"/>
    <n v="15"/>
    <n v="3345.3"/>
  </r>
  <r>
    <s v="S266"/>
    <x v="201"/>
    <x v="4"/>
    <x v="5"/>
    <s v="Red"/>
    <x v="5"/>
    <x v="0"/>
    <n v="192.97"/>
    <n v="7"/>
    <n v="1350.79"/>
  </r>
  <r>
    <s v="S267"/>
    <x v="202"/>
    <x v="0"/>
    <x v="4"/>
    <s v="Green"/>
    <x v="1"/>
    <x v="1"/>
    <n v="183.34"/>
    <n v="15"/>
    <n v="2750.1"/>
  </r>
  <r>
    <s v="S268"/>
    <x v="203"/>
    <x v="0"/>
    <x v="2"/>
    <s v="Green"/>
    <x v="6"/>
    <x v="2"/>
    <n v="184.55"/>
    <n v="6"/>
    <n v="1107.3"/>
  </r>
  <r>
    <s v="S269"/>
    <x v="204"/>
    <x v="2"/>
    <x v="2"/>
    <s v="Blue"/>
    <x v="3"/>
    <x v="2"/>
    <n v="109.09"/>
    <n v="17"/>
    <n v="1854.53"/>
  </r>
  <r>
    <s v="S270"/>
    <x v="205"/>
    <x v="4"/>
    <x v="0"/>
    <s v="Grey"/>
    <x v="1"/>
    <x v="1"/>
    <n v="94.59"/>
    <n v="14"/>
    <n v="1324.26"/>
  </r>
  <r>
    <s v="S271"/>
    <x v="206"/>
    <x v="0"/>
    <x v="4"/>
    <s v="Black"/>
    <x v="5"/>
    <x v="1"/>
    <n v="208.06"/>
    <n v="11"/>
    <n v="2288.66"/>
  </r>
  <r>
    <s v="S272"/>
    <x v="149"/>
    <x v="4"/>
    <x v="0"/>
    <s v="Green"/>
    <x v="5"/>
    <x v="0"/>
    <n v="208.22"/>
    <n v="10"/>
    <n v="2082.1999999999998"/>
  </r>
  <r>
    <s v="S273"/>
    <x v="207"/>
    <x v="2"/>
    <x v="0"/>
    <s v="White"/>
    <x v="3"/>
    <x v="2"/>
    <n v="220.76"/>
    <n v="3"/>
    <n v="662.28"/>
  </r>
  <r>
    <s v="S274"/>
    <x v="208"/>
    <x v="3"/>
    <x v="5"/>
    <s v="Green"/>
    <x v="1"/>
    <x v="2"/>
    <n v="230.91"/>
    <n v="13"/>
    <n v="3001.83"/>
  </r>
  <r>
    <s v="S275"/>
    <x v="62"/>
    <x v="1"/>
    <x v="4"/>
    <s v="White"/>
    <x v="2"/>
    <x v="1"/>
    <n v="142.5"/>
    <n v="13"/>
    <n v="1852.5"/>
  </r>
  <r>
    <s v="S276"/>
    <x v="209"/>
    <x v="0"/>
    <x v="0"/>
    <s v="Green"/>
    <x v="6"/>
    <x v="1"/>
    <n v="140.33000000000001"/>
    <n v="17"/>
    <n v="2385.61"/>
  </r>
  <r>
    <s v="S277"/>
    <x v="140"/>
    <x v="4"/>
    <x v="4"/>
    <s v="White"/>
    <x v="0"/>
    <x v="2"/>
    <n v="205.62"/>
    <n v="1"/>
    <n v="205.62"/>
  </r>
  <r>
    <s v="S278"/>
    <x v="95"/>
    <x v="3"/>
    <x v="2"/>
    <s v="White"/>
    <x v="1"/>
    <x v="2"/>
    <n v="172.99"/>
    <n v="7"/>
    <n v="1210.93"/>
  </r>
  <r>
    <s v="S279"/>
    <x v="210"/>
    <x v="2"/>
    <x v="0"/>
    <s v="Grey"/>
    <x v="1"/>
    <x v="1"/>
    <n v="184.43"/>
    <n v="17"/>
    <n v="3135.31"/>
  </r>
  <r>
    <s v="S280"/>
    <x v="211"/>
    <x v="3"/>
    <x v="5"/>
    <s v="Red"/>
    <x v="0"/>
    <x v="0"/>
    <n v="205.07"/>
    <n v="20"/>
    <n v="4101.3999999999996"/>
  </r>
  <r>
    <s v="S281"/>
    <x v="212"/>
    <x v="3"/>
    <x v="0"/>
    <s v="Red"/>
    <x v="1"/>
    <x v="2"/>
    <n v="225.8"/>
    <n v="20"/>
    <n v="4516"/>
  </r>
  <r>
    <s v="S282"/>
    <x v="213"/>
    <x v="5"/>
    <x v="5"/>
    <s v="Blue"/>
    <x v="4"/>
    <x v="1"/>
    <n v="104.36"/>
    <n v="8"/>
    <n v="834.88"/>
  </r>
  <r>
    <s v="S283"/>
    <x v="214"/>
    <x v="2"/>
    <x v="2"/>
    <s v="Blue"/>
    <x v="4"/>
    <x v="2"/>
    <n v="112.63"/>
    <n v="8"/>
    <n v="901.04"/>
  </r>
  <r>
    <s v="S284"/>
    <x v="215"/>
    <x v="1"/>
    <x v="5"/>
    <s v="Red"/>
    <x v="6"/>
    <x v="2"/>
    <n v="50.68"/>
    <n v="12"/>
    <n v="608.16"/>
  </r>
  <r>
    <s v="S285"/>
    <x v="20"/>
    <x v="2"/>
    <x v="3"/>
    <s v="White"/>
    <x v="4"/>
    <x v="0"/>
    <n v="157.22"/>
    <n v="17"/>
    <n v="2672.74"/>
  </r>
  <r>
    <s v="S286"/>
    <x v="7"/>
    <x v="4"/>
    <x v="1"/>
    <s v="Green"/>
    <x v="6"/>
    <x v="2"/>
    <n v="37.909999999999997"/>
    <n v="5"/>
    <n v="189.55"/>
  </r>
  <r>
    <s v="S287"/>
    <x v="53"/>
    <x v="1"/>
    <x v="5"/>
    <s v="Black"/>
    <x v="3"/>
    <x v="0"/>
    <n v="132.43"/>
    <n v="4"/>
    <n v="529.72"/>
  </r>
  <r>
    <s v="S288"/>
    <x v="216"/>
    <x v="5"/>
    <x v="5"/>
    <s v="White"/>
    <x v="4"/>
    <x v="2"/>
    <n v="149.38"/>
    <n v="9"/>
    <n v="1344.42"/>
  </r>
  <r>
    <s v="S289"/>
    <x v="161"/>
    <x v="5"/>
    <x v="4"/>
    <s v="Black"/>
    <x v="6"/>
    <x v="0"/>
    <n v="93.04"/>
    <n v="8"/>
    <n v="744.32"/>
  </r>
  <r>
    <s v="S290"/>
    <x v="159"/>
    <x v="4"/>
    <x v="2"/>
    <s v="Red"/>
    <x v="1"/>
    <x v="2"/>
    <n v="159.97999999999999"/>
    <n v="17"/>
    <n v="2719.66"/>
  </r>
  <r>
    <s v="S291"/>
    <x v="217"/>
    <x v="4"/>
    <x v="1"/>
    <s v="Green"/>
    <x v="2"/>
    <x v="2"/>
    <n v="36.71"/>
    <n v="1"/>
    <n v="36.71"/>
  </r>
  <r>
    <s v="S292"/>
    <x v="153"/>
    <x v="0"/>
    <x v="4"/>
    <s v="Red"/>
    <x v="2"/>
    <x v="0"/>
    <n v="38.22"/>
    <n v="5"/>
    <n v="191.1"/>
  </r>
  <r>
    <s v="S293"/>
    <x v="218"/>
    <x v="5"/>
    <x v="5"/>
    <s v="Black"/>
    <x v="1"/>
    <x v="0"/>
    <n v="210.97"/>
    <n v="16"/>
    <n v="3375.52"/>
  </r>
  <r>
    <s v="S294"/>
    <x v="163"/>
    <x v="3"/>
    <x v="5"/>
    <s v="Green"/>
    <x v="5"/>
    <x v="1"/>
    <n v="109.24"/>
    <n v="7"/>
    <n v="764.68"/>
  </r>
  <r>
    <s v="S295"/>
    <x v="2"/>
    <x v="4"/>
    <x v="2"/>
    <s v="Blue"/>
    <x v="1"/>
    <x v="0"/>
    <n v="57.95"/>
    <n v="4"/>
    <n v="231.8"/>
  </r>
  <r>
    <s v="S296"/>
    <x v="219"/>
    <x v="1"/>
    <x v="5"/>
    <s v="Red"/>
    <x v="1"/>
    <x v="0"/>
    <n v="144.88999999999999"/>
    <n v="14"/>
    <n v="2028.46"/>
  </r>
  <r>
    <s v="S297"/>
    <x v="144"/>
    <x v="2"/>
    <x v="1"/>
    <s v="Green"/>
    <x v="5"/>
    <x v="1"/>
    <n v="199.4"/>
    <n v="20"/>
    <n v="3988"/>
  </r>
  <r>
    <s v="S298"/>
    <x v="155"/>
    <x v="4"/>
    <x v="3"/>
    <s v="Black"/>
    <x v="5"/>
    <x v="2"/>
    <n v="77.48"/>
    <n v="5"/>
    <n v="387.4"/>
  </r>
  <r>
    <s v="S299"/>
    <x v="155"/>
    <x v="5"/>
    <x v="2"/>
    <s v="Green"/>
    <x v="2"/>
    <x v="0"/>
    <n v="167.04"/>
    <n v="19"/>
    <n v="3173.76"/>
  </r>
  <r>
    <s v="S300"/>
    <x v="204"/>
    <x v="0"/>
    <x v="5"/>
    <s v="Grey"/>
    <x v="5"/>
    <x v="1"/>
    <n v="48.78"/>
    <n v="12"/>
    <n v="585.36"/>
  </r>
  <r>
    <s v="S301"/>
    <x v="53"/>
    <x v="5"/>
    <x v="3"/>
    <s v="Black"/>
    <x v="2"/>
    <x v="2"/>
    <n v="41.37"/>
    <n v="1"/>
    <n v="41.37"/>
  </r>
  <r>
    <s v="S302"/>
    <x v="30"/>
    <x v="1"/>
    <x v="1"/>
    <s v="Blue"/>
    <x v="4"/>
    <x v="0"/>
    <n v="146.9"/>
    <n v="9"/>
    <n v="1322.1"/>
  </r>
  <r>
    <s v="S303"/>
    <x v="220"/>
    <x v="1"/>
    <x v="0"/>
    <s v="Green"/>
    <x v="1"/>
    <x v="1"/>
    <n v="148.94"/>
    <n v="8"/>
    <n v="1191.52"/>
  </r>
  <r>
    <s v="S304"/>
    <x v="207"/>
    <x v="0"/>
    <x v="4"/>
    <s v="Grey"/>
    <x v="3"/>
    <x v="1"/>
    <n v="170.23"/>
    <n v="5"/>
    <n v="851.15"/>
  </r>
  <r>
    <s v="S305"/>
    <x v="75"/>
    <x v="1"/>
    <x v="3"/>
    <s v="Green"/>
    <x v="0"/>
    <x v="0"/>
    <n v="189.74"/>
    <n v="15"/>
    <n v="2846.1"/>
  </r>
  <r>
    <s v="S306"/>
    <x v="31"/>
    <x v="0"/>
    <x v="4"/>
    <s v="White"/>
    <x v="1"/>
    <x v="0"/>
    <n v="244.69"/>
    <n v="15"/>
    <n v="3670.35"/>
  </r>
  <r>
    <s v="S307"/>
    <x v="221"/>
    <x v="4"/>
    <x v="5"/>
    <s v="Red"/>
    <x v="4"/>
    <x v="1"/>
    <n v="143.59"/>
    <n v="11"/>
    <n v="1579.49"/>
  </r>
  <r>
    <s v="S308"/>
    <x v="78"/>
    <x v="0"/>
    <x v="0"/>
    <s v="White"/>
    <x v="3"/>
    <x v="2"/>
    <n v="101.05"/>
    <n v="9"/>
    <n v="909.45"/>
  </r>
  <r>
    <s v="S309"/>
    <x v="222"/>
    <x v="4"/>
    <x v="1"/>
    <s v="Blue"/>
    <x v="6"/>
    <x v="2"/>
    <n v="204.94"/>
    <n v="11"/>
    <n v="2254.34"/>
  </r>
  <r>
    <s v="S310"/>
    <x v="89"/>
    <x v="4"/>
    <x v="2"/>
    <s v="Red"/>
    <x v="2"/>
    <x v="2"/>
    <n v="89.58"/>
    <n v="13"/>
    <n v="1164.54"/>
  </r>
  <r>
    <s v="S311"/>
    <x v="103"/>
    <x v="4"/>
    <x v="1"/>
    <s v="Green"/>
    <x v="6"/>
    <x v="0"/>
    <n v="126.57"/>
    <n v="17"/>
    <n v="2151.69"/>
  </r>
  <r>
    <s v="S312"/>
    <x v="223"/>
    <x v="3"/>
    <x v="5"/>
    <s v="Blue"/>
    <x v="3"/>
    <x v="0"/>
    <n v="47.26"/>
    <n v="20"/>
    <n v="945.2"/>
  </r>
  <r>
    <s v="S313"/>
    <x v="26"/>
    <x v="1"/>
    <x v="4"/>
    <s v="Blue"/>
    <x v="6"/>
    <x v="1"/>
    <n v="35.58"/>
    <n v="11"/>
    <n v="391.38"/>
  </r>
  <r>
    <s v="S314"/>
    <x v="224"/>
    <x v="1"/>
    <x v="3"/>
    <s v="Blue"/>
    <x v="6"/>
    <x v="0"/>
    <n v="241.78"/>
    <n v="6"/>
    <n v="1450.68"/>
  </r>
  <r>
    <s v="S315"/>
    <x v="118"/>
    <x v="5"/>
    <x v="4"/>
    <s v="Green"/>
    <x v="4"/>
    <x v="0"/>
    <n v="213.92"/>
    <n v="20"/>
    <n v="4278.3999999999996"/>
  </r>
  <r>
    <s v="S316"/>
    <x v="59"/>
    <x v="4"/>
    <x v="5"/>
    <s v="Green"/>
    <x v="2"/>
    <x v="0"/>
    <n v="183.11"/>
    <n v="13"/>
    <n v="2380.4299999999998"/>
  </r>
  <r>
    <s v="S317"/>
    <x v="225"/>
    <x v="2"/>
    <x v="0"/>
    <s v="Red"/>
    <x v="1"/>
    <x v="0"/>
    <n v="119.97"/>
    <n v="5"/>
    <n v="599.85"/>
  </r>
  <r>
    <s v="S318"/>
    <x v="33"/>
    <x v="1"/>
    <x v="4"/>
    <s v="Blue"/>
    <x v="6"/>
    <x v="1"/>
    <n v="68.12"/>
    <n v="8"/>
    <n v="544.96"/>
  </r>
  <r>
    <s v="S319"/>
    <x v="226"/>
    <x v="3"/>
    <x v="0"/>
    <s v="Red"/>
    <x v="3"/>
    <x v="2"/>
    <n v="64.42"/>
    <n v="20"/>
    <n v="1288.4000000000001"/>
  </r>
  <r>
    <s v="S320"/>
    <x v="181"/>
    <x v="2"/>
    <x v="2"/>
    <s v="Grey"/>
    <x v="3"/>
    <x v="2"/>
    <n v="85.05"/>
    <n v="3"/>
    <n v="255.15"/>
  </r>
  <r>
    <s v="S321"/>
    <x v="69"/>
    <x v="3"/>
    <x v="1"/>
    <s v="Black"/>
    <x v="2"/>
    <x v="0"/>
    <n v="150.83000000000001"/>
    <n v="9"/>
    <n v="1357.47"/>
  </r>
  <r>
    <s v="S322"/>
    <x v="144"/>
    <x v="5"/>
    <x v="5"/>
    <s v="Black"/>
    <x v="3"/>
    <x v="2"/>
    <n v="187.21"/>
    <n v="17"/>
    <n v="3182.57"/>
  </r>
  <r>
    <s v="S323"/>
    <x v="52"/>
    <x v="3"/>
    <x v="5"/>
    <s v="Blue"/>
    <x v="2"/>
    <x v="2"/>
    <n v="175.24"/>
    <n v="15"/>
    <n v="2628.6"/>
  </r>
  <r>
    <s v="S324"/>
    <x v="227"/>
    <x v="3"/>
    <x v="1"/>
    <s v="Red"/>
    <x v="0"/>
    <x v="1"/>
    <n v="91.59"/>
    <n v="4"/>
    <n v="366.36"/>
  </r>
  <r>
    <s v="S325"/>
    <x v="181"/>
    <x v="1"/>
    <x v="4"/>
    <s v="Green"/>
    <x v="3"/>
    <x v="1"/>
    <n v="240.07"/>
    <n v="3"/>
    <n v="720.21"/>
  </r>
  <r>
    <s v="S326"/>
    <x v="228"/>
    <x v="2"/>
    <x v="4"/>
    <s v="Blue"/>
    <x v="4"/>
    <x v="0"/>
    <n v="192.34"/>
    <n v="18"/>
    <n v="3462.12"/>
  </r>
  <r>
    <s v="S327"/>
    <x v="229"/>
    <x v="4"/>
    <x v="5"/>
    <s v="White"/>
    <x v="1"/>
    <x v="0"/>
    <n v="151.96"/>
    <n v="6"/>
    <n v="911.76"/>
  </r>
  <r>
    <s v="S328"/>
    <x v="1"/>
    <x v="5"/>
    <x v="1"/>
    <s v="Blue"/>
    <x v="5"/>
    <x v="1"/>
    <n v="164.58"/>
    <n v="8"/>
    <n v="1316.64"/>
  </r>
  <r>
    <s v="S329"/>
    <x v="103"/>
    <x v="2"/>
    <x v="2"/>
    <s v="Grey"/>
    <x v="1"/>
    <x v="0"/>
    <n v="122.31"/>
    <n v="15"/>
    <n v="1834.65"/>
  </r>
  <r>
    <s v="S330"/>
    <x v="73"/>
    <x v="1"/>
    <x v="0"/>
    <s v="Red"/>
    <x v="5"/>
    <x v="2"/>
    <n v="84.5"/>
    <n v="13"/>
    <n v="1098.5"/>
  </r>
  <r>
    <s v="S331"/>
    <x v="169"/>
    <x v="0"/>
    <x v="2"/>
    <s v="Blue"/>
    <x v="2"/>
    <x v="0"/>
    <n v="108.31"/>
    <n v="19"/>
    <n v="2057.89"/>
  </r>
  <r>
    <s v="S332"/>
    <x v="230"/>
    <x v="1"/>
    <x v="5"/>
    <s v="Blue"/>
    <x v="0"/>
    <x v="1"/>
    <n v="196.73"/>
    <n v="15"/>
    <n v="2950.95"/>
  </r>
  <r>
    <s v="S333"/>
    <x v="0"/>
    <x v="3"/>
    <x v="2"/>
    <s v="Red"/>
    <x v="5"/>
    <x v="0"/>
    <n v="33.17"/>
    <n v="19"/>
    <n v="630.23"/>
  </r>
  <r>
    <s v="S334"/>
    <x v="231"/>
    <x v="3"/>
    <x v="4"/>
    <s v="White"/>
    <x v="0"/>
    <x v="2"/>
    <n v="55.54"/>
    <n v="17"/>
    <n v="944.18"/>
  </r>
  <r>
    <s v="S335"/>
    <x v="142"/>
    <x v="4"/>
    <x v="5"/>
    <s v="Blue"/>
    <x v="4"/>
    <x v="0"/>
    <n v="40.119999999999997"/>
    <n v="8"/>
    <n v="320.95999999999998"/>
  </r>
  <r>
    <s v="S336"/>
    <x v="56"/>
    <x v="1"/>
    <x v="5"/>
    <s v="Blue"/>
    <x v="0"/>
    <x v="1"/>
    <n v="38.96"/>
    <n v="7"/>
    <n v="272.72000000000003"/>
  </r>
  <r>
    <s v="S337"/>
    <x v="76"/>
    <x v="2"/>
    <x v="1"/>
    <s v="Grey"/>
    <x v="2"/>
    <x v="0"/>
    <n v="218.2"/>
    <n v="20"/>
    <n v="4364"/>
  </r>
  <r>
    <s v="S338"/>
    <x v="97"/>
    <x v="3"/>
    <x v="2"/>
    <s v="Green"/>
    <x v="5"/>
    <x v="1"/>
    <n v="184.8"/>
    <n v="19"/>
    <n v="3511.2"/>
  </r>
  <r>
    <s v="S339"/>
    <x v="7"/>
    <x v="2"/>
    <x v="1"/>
    <s v="Black"/>
    <x v="1"/>
    <x v="0"/>
    <n v="134.32"/>
    <n v="11"/>
    <n v="1477.52"/>
  </r>
  <r>
    <s v="S340"/>
    <x v="174"/>
    <x v="4"/>
    <x v="0"/>
    <s v="White"/>
    <x v="4"/>
    <x v="1"/>
    <n v="51.52"/>
    <n v="19"/>
    <n v="978.88"/>
  </r>
  <r>
    <s v="S341"/>
    <x v="232"/>
    <x v="1"/>
    <x v="1"/>
    <s v="Red"/>
    <x v="2"/>
    <x v="1"/>
    <n v="138.16"/>
    <n v="20"/>
    <n v="2763.2"/>
  </r>
  <r>
    <s v="S342"/>
    <x v="10"/>
    <x v="5"/>
    <x v="2"/>
    <s v="Green"/>
    <x v="6"/>
    <x v="2"/>
    <n v="134.16"/>
    <n v="10"/>
    <n v="1341.6"/>
  </r>
  <r>
    <s v="S343"/>
    <x v="131"/>
    <x v="1"/>
    <x v="1"/>
    <s v="White"/>
    <x v="6"/>
    <x v="2"/>
    <n v="68.099999999999994"/>
    <n v="3"/>
    <n v="204.3"/>
  </r>
  <r>
    <s v="S344"/>
    <x v="147"/>
    <x v="3"/>
    <x v="4"/>
    <s v="Grey"/>
    <x v="0"/>
    <x v="2"/>
    <n v="125.45"/>
    <n v="15"/>
    <n v="1881.75"/>
  </r>
  <r>
    <s v="S345"/>
    <x v="90"/>
    <x v="5"/>
    <x v="2"/>
    <s v="Blue"/>
    <x v="5"/>
    <x v="1"/>
    <n v="117.67"/>
    <n v="12"/>
    <n v="1412.04"/>
  </r>
  <r>
    <s v="S346"/>
    <x v="54"/>
    <x v="3"/>
    <x v="3"/>
    <s v="Black"/>
    <x v="3"/>
    <x v="2"/>
    <n v="165.49"/>
    <n v="11"/>
    <n v="1820.39"/>
  </r>
  <r>
    <s v="S347"/>
    <x v="102"/>
    <x v="0"/>
    <x v="1"/>
    <s v="Blue"/>
    <x v="6"/>
    <x v="1"/>
    <n v="169.72"/>
    <n v="5"/>
    <n v="848.6"/>
  </r>
  <r>
    <s v="S348"/>
    <x v="233"/>
    <x v="3"/>
    <x v="4"/>
    <s v="Grey"/>
    <x v="2"/>
    <x v="2"/>
    <n v="39.97"/>
    <n v="8"/>
    <n v="319.76"/>
  </r>
  <r>
    <s v="S349"/>
    <x v="70"/>
    <x v="5"/>
    <x v="5"/>
    <s v="Red"/>
    <x v="6"/>
    <x v="2"/>
    <n v="112.41"/>
    <n v="6"/>
    <n v="674.46"/>
  </r>
  <r>
    <s v="S350"/>
    <x v="234"/>
    <x v="0"/>
    <x v="3"/>
    <s v="Grey"/>
    <x v="6"/>
    <x v="0"/>
    <n v="167.69"/>
    <n v="1"/>
    <n v="167.69"/>
  </r>
  <r>
    <s v="S351"/>
    <x v="235"/>
    <x v="4"/>
    <x v="1"/>
    <s v="Black"/>
    <x v="3"/>
    <x v="2"/>
    <n v="140.69"/>
    <n v="19"/>
    <n v="2673.11"/>
  </r>
  <r>
    <s v="S352"/>
    <x v="236"/>
    <x v="4"/>
    <x v="5"/>
    <s v="Black"/>
    <x v="4"/>
    <x v="0"/>
    <n v="218.43"/>
    <n v="16"/>
    <n v="3494.88"/>
  </r>
  <r>
    <s v="S353"/>
    <x v="223"/>
    <x v="4"/>
    <x v="0"/>
    <s v="Blue"/>
    <x v="4"/>
    <x v="2"/>
    <n v="174.91"/>
    <n v="5"/>
    <n v="874.55"/>
  </r>
  <r>
    <s v="S354"/>
    <x v="237"/>
    <x v="5"/>
    <x v="1"/>
    <s v="Grey"/>
    <x v="5"/>
    <x v="0"/>
    <n v="65.849999999999994"/>
    <n v="2"/>
    <n v="131.69999999999999"/>
  </r>
  <r>
    <s v="S355"/>
    <x v="140"/>
    <x v="4"/>
    <x v="1"/>
    <s v="Red"/>
    <x v="5"/>
    <x v="2"/>
    <n v="45.53"/>
    <n v="18"/>
    <n v="819.54"/>
  </r>
  <r>
    <s v="S356"/>
    <x v="238"/>
    <x v="2"/>
    <x v="0"/>
    <s v="Grey"/>
    <x v="1"/>
    <x v="0"/>
    <n v="171.33"/>
    <n v="9"/>
    <n v="1541.97"/>
  </r>
  <r>
    <s v="S357"/>
    <x v="35"/>
    <x v="4"/>
    <x v="4"/>
    <s v="Grey"/>
    <x v="3"/>
    <x v="0"/>
    <n v="35.83"/>
    <n v="13"/>
    <n v="465.79"/>
  </r>
  <r>
    <s v="S358"/>
    <x v="158"/>
    <x v="2"/>
    <x v="3"/>
    <s v="Grey"/>
    <x v="1"/>
    <x v="0"/>
    <n v="158.87"/>
    <n v="20"/>
    <n v="3177.4"/>
  </r>
  <r>
    <s v="S359"/>
    <x v="64"/>
    <x v="1"/>
    <x v="4"/>
    <s v="Red"/>
    <x v="5"/>
    <x v="2"/>
    <n v="236.85"/>
    <n v="5"/>
    <n v="1184.25"/>
  </r>
  <r>
    <s v="S360"/>
    <x v="132"/>
    <x v="2"/>
    <x v="2"/>
    <s v="Blue"/>
    <x v="5"/>
    <x v="2"/>
    <n v="156.6"/>
    <n v="20"/>
    <n v="3132"/>
  </r>
  <r>
    <s v="S361"/>
    <x v="104"/>
    <x v="2"/>
    <x v="0"/>
    <s v="Blue"/>
    <x v="5"/>
    <x v="2"/>
    <n v="115.4"/>
    <n v="13"/>
    <n v="1500.2"/>
  </r>
  <r>
    <s v="S362"/>
    <x v="239"/>
    <x v="2"/>
    <x v="3"/>
    <s v="Green"/>
    <x v="5"/>
    <x v="2"/>
    <n v="171.52"/>
    <n v="17"/>
    <n v="2915.84"/>
  </r>
  <r>
    <s v="S363"/>
    <x v="240"/>
    <x v="4"/>
    <x v="4"/>
    <s v="Green"/>
    <x v="1"/>
    <x v="2"/>
    <n v="130.82"/>
    <n v="1"/>
    <n v="130.82"/>
  </r>
  <r>
    <s v="S364"/>
    <x v="241"/>
    <x v="1"/>
    <x v="0"/>
    <s v="Green"/>
    <x v="1"/>
    <x v="1"/>
    <n v="150.04"/>
    <n v="10"/>
    <n v="1500.4"/>
  </r>
  <r>
    <s v="S365"/>
    <x v="78"/>
    <x v="1"/>
    <x v="5"/>
    <s v="Grey"/>
    <x v="0"/>
    <x v="1"/>
    <n v="237.12"/>
    <n v="9"/>
    <n v="2134.08"/>
  </r>
  <r>
    <s v="S366"/>
    <x v="126"/>
    <x v="5"/>
    <x v="2"/>
    <s v="Grey"/>
    <x v="2"/>
    <x v="1"/>
    <n v="114.94"/>
    <n v="19"/>
    <n v="2183.86"/>
  </r>
  <r>
    <s v="S367"/>
    <x v="48"/>
    <x v="3"/>
    <x v="0"/>
    <s v="White"/>
    <x v="1"/>
    <x v="1"/>
    <n v="241.46"/>
    <n v="13"/>
    <n v="3138.98"/>
  </r>
  <r>
    <s v="S368"/>
    <x v="242"/>
    <x v="3"/>
    <x v="1"/>
    <s v="Red"/>
    <x v="3"/>
    <x v="2"/>
    <n v="229.18"/>
    <n v="4"/>
    <n v="916.72"/>
  </r>
  <r>
    <s v="S369"/>
    <x v="243"/>
    <x v="1"/>
    <x v="2"/>
    <s v="Red"/>
    <x v="5"/>
    <x v="1"/>
    <n v="73.069999999999993"/>
    <n v="14"/>
    <n v="1022.98"/>
  </r>
  <r>
    <s v="S370"/>
    <x v="145"/>
    <x v="1"/>
    <x v="2"/>
    <s v="Grey"/>
    <x v="0"/>
    <x v="1"/>
    <n v="45.26"/>
    <n v="2"/>
    <n v="90.52"/>
  </r>
  <r>
    <s v="S371"/>
    <x v="182"/>
    <x v="2"/>
    <x v="3"/>
    <s v="Blue"/>
    <x v="0"/>
    <x v="2"/>
    <n v="52.17"/>
    <n v="16"/>
    <n v="834.72"/>
  </r>
  <r>
    <s v="S372"/>
    <x v="244"/>
    <x v="2"/>
    <x v="4"/>
    <s v="Green"/>
    <x v="4"/>
    <x v="1"/>
    <n v="34.01"/>
    <n v="11"/>
    <n v="374.11"/>
  </r>
  <r>
    <s v="S373"/>
    <x v="21"/>
    <x v="2"/>
    <x v="3"/>
    <s v="White"/>
    <x v="0"/>
    <x v="2"/>
    <n v="50.78"/>
    <n v="9"/>
    <n v="457.02"/>
  </r>
  <r>
    <s v="S374"/>
    <x v="14"/>
    <x v="3"/>
    <x v="4"/>
    <s v="Blue"/>
    <x v="2"/>
    <x v="0"/>
    <n v="180.26"/>
    <n v="10"/>
    <n v="1802.6"/>
  </r>
  <r>
    <s v="S375"/>
    <x v="29"/>
    <x v="4"/>
    <x v="3"/>
    <s v="Blue"/>
    <x v="5"/>
    <x v="1"/>
    <n v="45.66"/>
    <n v="16"/>
    <n v="730.56"/>
  </r>
  <r>
    <s v="S376"/>
    <x v="245"/>
    <x v="0"/>
    <x v="5"/>
    <s v="Green"/>
    <x v="5"/>
    <x v="2"/>
    <n v="100.17"/>
    <n v="10"/>
    <n v="1001.7"/>
  </r>
  <r>
    <s v="S377"/>
    <x v="159"/>
    <x v="3"/>
    <x v="4"/>
    <s v="Black"/>
    <x v="3"/>
    <x v="1"/>
    <n v="215.87"/>
    <n v="12"/>
    <n v="2590.44"/>
  </r>
  <r>
    <s v="S378"/>
    <x v="26"/>
    <x v="5"/>
    <x v="0"/>
    <s v="Blue"/>
    <x v="2"/>
    <x v="2"/>
    <n v="35.119999999999997"/>
    <n v="12"/>
    <n v="421.44"/>
  </r>
  <r>
    <s v="S379"/>
    <x v="246"/>
    <x v="2"/>
    <x v="4"/>
    <s v="Grey"/>
    <x v="2"/>
    <x v="2"/>
    <n v="209.18"/>
    <n v="7"/>
    <n v="1464.26"/>
  </r>
  <r>
    <s v="S380"/>
    <x v="18"/>
    <x v="2"/>
    <x v="0"/>
    <s v="Grey"/>
    <x v="0"/>
    <x v="0"/>
    <n v="92.01"/>
    <n v="4"/>
    <n v="368.04"/>
  </r>
  <r>
    <s v="S381"/>
    <x v="160"/>
    <x v="3"/>
    <x v="0"/>
    <s v="White"/>
    <x v="1"/>
    <x v="0"/>
    <n v="56"/>
    <n v="17"/>
    <n v="952"/>
  </r>
  <r>
    <s v="S382"/>
    <x v="184"/>
    <x v="1"/>
    <x v="3"/>
    <s v="Black"/>
    <x v="2"/>
    <x v="0"/>
    <n v="183.28"/>
    <n v="11"/>
    <n v="2016.08"/>
  </r>
  <r>
    <s v="S383"/>
    <x v="247"/>
    <x v="3"/>
    <x v="3"/>
    <s v="Green"/>
    <x v="6"/>
    <x v="2"/>
    <n v="168.37"/>
    <n v="18"/>
    <n v="3030.66"/>
  </r>
  <r>
    <s v="S384"/>
    <x v="183"/>
    <x v="4"/>
    <x v="4"/>
    <s v="Blue"/>
    <x v="2"/>
    <x v="0"/>
    <n v="223.04"/>
    <n v="7"/>
    <n v="1561.28"/>
  </r>
  <r>
    <s v="S385"/>
    <x v="248"/>
    <x v="3"/>
    <x v="5"/>
    <s v="Green"/>
    <x v="2"/>
    <x v="0"/>
    <n v="191.72"/>
    <n v="19"/>
    <n v="3642.68"/>
  </r>
  <r>
    <s v="S386"/>
    <x v="75"/>
    <x v="3"/>
    <x v="1"/>
    <s v="Red"/>
    <x v="4"/>
    <x v="2"/>
    <n v="206.77"/>
    <n v="14"/>
    <n v="2894.78"/>
  </r>
  <r>
    <s v="S387"/>
    <x v="46"/>
    <x v="0"/>
    <x v="1"/>
    <s v="Blue"/>
    <x v="5"/>
    <x v="1"/>
    <n v="92.05"/>
    <n v="10"/>
    <n v="920.5"/>
  </r>
  <r>
    <s v="S388"/>
    <x v="54"/>
    <x v="4"/>
    <x v="3"/>
    <s v="Green"/>
    <x v="5"/>
    <x v="1"/>
    <n v="69.040000000000006"/>
    <n v="11"/>
    <n v="759.44"/>
  </r>
  <r>
    <s v="S389"/>
    <x v="249"/>
    <x v="2"/>
    <x v="3"/>
    <s v="Blue"/>
    <x v="0"/>
    <x v="0"/>
    <n v="195.14"/>
    <n v="5"/>
    <n v="975.7"/>
  </r>
  <r>
    <s v="S390"/>
    <x v="92"/>
    <x v="1"/>
    <x v="3"/>
    <s v="Green"/>
    <x v="3"/>
    <x v="1"/>
    <n v="207.5"/>
    <n v="6"/>
    <n v="1245"/>
  </r>
  <r>
    <s v="S391"/>
    <x v="46"/>
    <x v="1"/>
    <x v="4"/>
    <s v="Blue"/>
    <x v="5"/>
    <x v="1"/>
    <n v="247.91"/>
    <n v="1"/>
    <n v="247.91"/>
  </r>
  <r>
    <s v="S392"/>
    <x v="119"/>
    <x v="2"/>
    <x v="0"/>
    <s v="Red"/>
    <x v="4"/>
    <x v="2"/>
    <n v="120.78"/>
    <n v="6"/>
    <n v="724.68"/>
  </r>
  <r>
    <s v="S393"/>
    <x v="250"/>
    <x v="0"/>
    <x v="3"/>
    <s v="Green"/>
    <x v="1"/>
    <x v="0"/>
    <n v="111.84"/>
    <n v="11"/>
    <n v="1230.24"/>
  </r>
  <r>
    <s v="S394"/>
    <x v="1"/>
    <x v="4"/>
    <x v="2"/>
    <s v="Black"/>
    <x v="3"/>
    <x v="2"/>
    <n v="200.81"/>
    <n v="16"/>
    <n v="3212.96"/>
  </r>
  <r>
    <s v="S395"/>
    <x v="251"/>
    <x v="4"/>
    <x v="4"/>
    <s v="Blue"/>
    <x v="5"/>
    <x v="1"/>
    <n v="104.98"/>
    <n v="15"/>
    <n v="1574.7"/>
  </r>
  <r>
    <s v="S396"/>
    <x v="125"/>
    <x v="4"/>
    <x v="0"/>
    <s v="Blue"/>
    <x v="2"/>
    <x v="0"/>
    <n v="234.77"/>
    <n v="1"/>
    <n v="234.77"/>
  </r>
  <r>
    <s v="S397"/>
    <x v="202"/>
    <x v="5"/>
    <x v="4"/>
    <s v="White"/>
    <x v="6"/>
    <x v="1"/>
    <n v="218.85"/>
    <n v="4"/>
    <n v="875.4"/>
  </r>
  <r>
    <s v="S398"/>
    <x v="252"/>
    <x v="1"/>
    <x v="1"/>
    <s v="Green"/>
    <x v="3"/>
    <x v="2"/>
    <n v="124.38"/>
    <n v="10"/>
    <n v="1243.8"/>
  </r>
  <r>
    <s v="S399"/>
    <x v="253"/>
    <x v="3"/>
    <x v="2"/>
    <s v="Red"/>
    <x v="0"/>
    <x v="2"/>
    <n v="195.19"/>
    <n v="8"/>
    <n v="1561.52"/>
  </r>
  <r>
    <s v="S400"/>
    <x v="128"/>
    <x v="5"/>
    <x v="0"/>
    <s v="Grey"/>
    <x v="6"/>
    <x v="1"/>
    <n v="196"/>
    <n v="12"/>
    <n v="2352"/>
  </r>
  <r>
    <s v="S401"/>
    <x v="254"/>
    <x v="3"/>
    <x v="0"/>
    <s v="Grey"/>
    <x v="4"/>
    <x v="0"/>
    <n v="52.69"/>
    <n v="7"/>
    <n v="368.83"/>
  </r>
  <r>
    <s v="S402"/>
    <x v="255"/>
    <x v="2"/>
    <x v="0"/>
    <s v="Blue"/>
    <x v="1"/>
    <x v="1"/>
    <n v="228.56"/>
    <n v="15"/>
    <n v="3428.4"/>
  </r>
  <r>
    <s v="S403"/>
    <x v="25"/>
    <x v="2"/>
    <x v="5"/>
    <s v="White"/>
    <x v="5"/>
    <x v="1"/>
    <n v="141.16"/>
    <n v="2"/>
    <n v="282.32"/>
  </r>
  <r>
    <s v="S404"/>
    <x v="132"/>
    <x v="4"/>
    <x v="5"/>
    <s v="Red"/>
    <x v="1"/>
    <x v="1"/>
    <n v="211.82"/>
    <n v="6"/>
    <n v="1270.92"/>
  </r>
  <r>
    <s v="S405"/>
    <x v="256"/>
    <x v="5"/>
    <x v="1"/>
    <s v="Grey"/>
    <x v="6"/>
    <x v="0"/>
    <n v="100.41"/>
    <n v="19"/>
    <n v="1907.79"/>
  </r>
  <r>
    <s v="S406"/>
    <x v="131"/>
    <x v="2"/>
    <x v="3"/>
    <s v="Red"/>
    <x v="5"/>
    <x v="0"/>
    <n v="227.02"/>
    <n v="5"/>
    <n v="1135.0999999999999"/>
  </r>
  <r>
    <s v="S407"/>
    <x v="62"/>
    <x v="1"/>
    <x v="4"/>
    <s v="Green"/>
    <x v="1"/>
    <x v="2"/>
    <n v="115.62"/>
    <n v="15"/>
    <n v="1734.3"/>
  </r>
  <r>
    <s v="S408"/>
    <x v="156"/>
    <x v="1"/>
    <x v="2"/>
    <s v="Grey"/>
    <x v="1"/>
    <x v="0"/>
    <n v="32.380000000000003"/>
    <n v="1"/>
    <n v="32.380000000000003"/>
  </r>
  <r>
    <s v="S409"/>
    <x v="2"/>
    <x v="1"/>
    <x v="1"/>
    <s v="Grey"/>
    <x v="1"/>
    <x v="0"/>
    <n v="229.18"/>
    <n v="12"/>
    <n v="2750.16"/>
  </r>
  <r>
    <s v="S410"/>
    <x v="145"/>
    <x v="4"/>
    <x v="3"/>
    <s v="White"/>
    <x v="4"/>
    <x v="0"/>
    <n v="50.08"/>
    <n v="2"/>
    <n v="100.16"/>
  </r>
  <r>
    <s v="S411"/>
    <x v="174"/>
    <x v="4"/>
    <x v="3"/>
    <s v="Red"/>
    <x v="4"/>
    <x v="2"/>
    <n v="100.25"/>
    <n v="14"/>
    <n v="1403.5"/>
  </r>
  <r>
    <s v="S412"/>
    <x v="257"/>
    <x v="1"/>
    <x v="0"/>
    <s v="Grey"/>
    <x v="0"/>
    <x v="1"/>
    <n v="239.01"/>
    <n v="3"/>
    <n v="717.03"/>
  </r>
  <r>
    <s v="S413"/>
    <x v="196"/>
    <x v="3"/>
    <x v="5"/>
    <s v="Red"/>
    <x v="5"/>
    <x v="0"/>
    <n v="239.13"/>
    <n v="4"/>
    <n v="956.52"/>
  </r>
  <r>
    <s v="S414"/>
    <x v="217"/>
    <x v="0"/>
    <x v="4"/>
    <s v="Red"/>
    <x v="2"/>
    <x v="1"/>
    <n v="156.16"/>
    <n v="1"/>
    <n v="156.16"/>
  </r>
  <r>
    <s v="S415"/>
    <x v="258"/>
    <x v="2"/>
    <x v="3"/>
    <s v="White"/>
    <x v="0"/>
    <x v="2"/>
    <n v="169"/>
    <n v="14"/>
    <n v="2366"/>
  </r>
  <r>
    <s v="S416"/>
    <x v="259"/>
    <x v="4"/>
    <x v="2"/>
    <s v="Green"/>
    <x v="4"/>
    <x v="0"/>
    <n v="128.66"/>
    <n v="5"/>
    <n v="643.29999999999995"/>
  </r>
  <r>
    <s v="S417"/>
    <x v="226"/>
    <x v="2"/>
    <x v="1"/>
    <s v="White"/>
    <x v="0"/>
    <x v="0"/>
    <n v="94.51"/>
    <n v="14"/>
    <n v="1323.14"/>
  </r>
  <r>
    <s v="S418"/>
    <x v="210"/>
    <x v="0"/>
    <x v="3"/>
    <s v="Grey"/>
    <x v="2"/>
    <x v="1"/>
    <n v="102.31"/>
    <n v="20"/>
    <n v="2046.2"/>
  </r>
  <r>
    <s v="S419"/>
    <x v="222"/>
    <x v="1"/>
    <x v="1"/>
    <s v="Red"/>
    <x v="6"/>
    <x v="0"/>
    <n v="177.95"/>
    <n v="8"/>
    <n v="1423.6"/>
  </r>
  <r>
    <s v="S420"/>
    <x v="24"/>
    <x v="0"/>
    <x v="2"/>
    <s v="Grey"/>
    <x v="3"/>
    <x v="0"/>
    <n v="195.52"/>
    <n v="7"/>
    <n v="1368.64"/>
  </r>
  <r>
    <s v="S421"/>
    <x v="260"/>
    <x v="2"/>
    <x v="5"/>
    <s v="Green"/>
    <x v="4"/>
    <x v="2"/>
    <n v="204.15"/>
    <n v="11"/>
    <n v="2245.65"/>
  </r>
  <r>
    <s v="S422"/>
    <x v="261"/>
    <x v="3"/>
    <x v="0"/>
    <s v="Grey"/>
    <x v="0"/>
    <x v="2"/>
    <n v="203.72"/>
    <n v="10"/>
    <n v="2037.2"/>
  </r>
  <r>
    <s v="S423"/>
    <x v="157"/>
    <x v="0"/>
    <x v="5"/>
    <s v="Grey"/>
    <x v="2"/>
    <x v="0"/>
    <n v="50.07"/>
    <n v="9"/>
    <n v="450.63"/>
  </r>
  <r>
    <s v="S424"/>
    <x v="262"/>
    <x v="2"/>
    <x v="3"/>
    <s v="Black"/>
    <x v="3"/>
    <x v="1"/>
    <n v="138.77000000000001"/>
    <n v="14"/>
    <n v="1942.78"/>
  </r>
  <r>
    <s v="S425"/>
    <x v="263"/>
    <x v="2"/>
    <x v="4"/>
    <s v="Green"/>
    <x v="6"/>
    <x v="2"/>
    <n v="42.66"/>
    <n v="13"/>
    <n v="554.58000000000004"/>
  </r>
  <r>
    <s v="S426"/>
    <x v="132"/>
    <x v="5"/>
    <x v="2"/>
    <s v="Grey"/>
    <x v="6"/>
    <x v="0"/>
    <n v="150.9"/>
    <n v="10"/>
    <n v="1509"/>
  </r>
  <r>
    <s v="S427"/>
    <x v="80"/>
    <x v="1"/>
    <x v="2"/>
    <s v="Red"/>
    <x v="1"/>
    <x v="1"/>
    <n v="127.14"/>
    <n v="10"/>
    <n v="1271.4000000000001"/>
  </r>
  <r>
    <s v="S428"/>
    <x v="184"/>
    <x v="2"/>
    <x v="5"/>
    <s v="White"/>
    <x v="6"/>
    <x v="0"/>
    <n v="225.29"/>
    <n v="14"/>
    <n v="3154.06"/>
  </r>
  <r>
    <s v="S429"/>
    <x v="156"/>
    <x v="4"/>
    <x v="0"/>
    <s v="Black"/>
    <x v="6"/>
    <x v="2"/>
    <n v="107.2"/>
    <n v="7"/>
    <n v="750.4"/>
  </r>
  <r>
    <s v="S430"/>
    <x v="143"/>
    <x v="1"/>
    <x v="2"/>
    <s v="Black"/>
    <x v="3"/>
    <x v="2"/>
    <n v="55.75"/>
    <n v="18"/>
    <n v="1003.5"/>
  </r>
  <r>
    <s v="S431"/>
    <x v="264"/>
    <x v="2"/>
    <x v="1"/>
    <s v="Black"/>
    <x v="0"/>
    <x v="1"/>
    <n v="61.46"/>
    <n v="20"/>
    <n v="1229.2"/>
  </r>
  <r>
    <s v="S432"/>
    <x v="263"/>
    <x v="3"/>
    <x v="3"/>
    <s v="White"/>
    <x v="4"/>
    <x v="2"/>
    <n v="197.53"/>
    <n v="18"/>
    <n v="3555.54"/>
  </r>
  <r>
    <s v="S433"/>
    <x v="76"/>
    <x v="3"/>
    <x v="2"/>
    <s v="Green"/>
    <x v="1"/>
    <x v="1"/>
    <n v="166.01"/>
    <n v="1"/>
    <n v="166.01"/>
  </r>
  <r>
    <s v="S434"/>
    <x v="180"/>
    <x v="1"/>
    <x v="5"/>
    <s v="Green"/>
    <x v="0"/>
    <x v="2"/>
    <n v="52.25"/>
    <n v="8"/>
    <n v="418"/>
  </r>
  <r>
    <s v="S435"/>
    <x v="219"/>
    <x v="4"/>
    <x v="4"/>
    <s v="Red"/>
    <x v="6"/>
    <x v="1"/>
    <n v="48.5"/>
    <n v="18"/>
    <n v="873"/>
  </r>
  <r>
    <s v="S436"/>
    <x v="265"/>
    <x v="4"/>
    <x v="4"/>
    <s v="Blue"/>
    <x v="5"/>
    <x v="2"/>
    <n v="184.21"/>
    <n v="12"/>
    <n v="2210.52"/>
  </r>
  <r>
    <s v="S437"/>
    <x v="266"/>
    <x v="1"/>
    <x v="3"/>
    <s v="Blue"/>
    <x v="0"/>
    <x v="2"/>
    <n v="46.01"/>
    <n v="4"/>
    <n v="184.04"/>
  </r>
  <r>
    <s v="S438"/>
    <x v="69"/>
    <x v="0"/>
    <x v="5"/>
    <s v="White"/>
    <x v="2"/>
    <x v="0"/>
    <n v="210.81"/>
    <n v="14"/>
    <n v="2951.34"/>
  </r>
  <r>
    <s v="S439"/>
    <x v="267"/>
    <x v="2"/>
    <x v="5"/>
    <s v="Grey"/>
    <x v="2"/>
    <x v="2"/>
    <n v="185.37"/>
    <n v="9"/>
    <n v="1668.33"/>
  </r>
  <r>
    <s v="S440"/>
    <x v="122"/>
    <x v="3"/>
    <x v="4"/>
    <s v="White"/>
    <x v="6"/>
    <x v="1"/>
    <n v="47.9"/>
    <n v="5"/>
    <n v="239.5"/>
  </r>
  <r>
    <s v="S441"/>
    <x v="13"/>
    <x v="2"/>
    <x v="0"/>
    <s v="Green"/>
    <x v="3"/>
    <x v="2"/>
    <n v="48.66"/>
    <n v="16"/>
    <n v="778.56"/>
  </r>
  <r>
    <s v="S442"/>
    <x v="115"/>
    <x v="5"/>
    <x v="2"/>
    <s v="Green"/>
    <x v="4"/>
    <x v="2"/>
    <n v="247.06"/>
    <n v="16"/>
    <n v="3952.96"/>
  </r>
  <r>
    <s v="S443"/>
    <x v="268"/>
    <x v="1"/>
    <x v="5"/>
    <s v="Red"/>
    <x v="0"/>
    <x v="1"/>
    <n v="112.34"/>
    <n v="5"/>
    <n v="561.70000000000005"/>
  </r>
  <r>
    <s v="S444"/>
    <x v="174"/>
    <x v="2"/>
    <x v="1"/>
    <s v="Black"/>
    <x v="4"/>
    <x v="1"/>
    <n v="111.54"/>
    <n v="2"/>
    <n v="223.08"/>
  </r>
  <r>
    <s v="S445"/>
    <x v="222"/>
    <x v="5"/>
    <x v="2"/>
    <s v="Green"/>
    <x v="0"/>
    <x v="0"/>
    <n v="208.82"/>
    <n v="1"/>
    <n v="208.82"/>
  </r>
  <r>
    <s v="S446"/>
    <x v="109"/>
    <x v="0"/>
    <x v="2"/>
    <s v="Grey"/>
    <x v="6"/>
    <x v="2"/>
    <n v="238.39"/>
    <n v="5"/>
    <n v="1191.95"/>
  </r>
  <r>
    <s v="S447"/>
    <x v="41"/>
    <x v="1"/>
    <x v="0"/>
    <s v="Grey"/>
    <x v="6"/>
    <x v="1"/>
    <n v="246.92"/>
    <n v="20"/>
    <n v="4938.3999999999996"/>
  </r>
  <r>
    <s v="S448"/>
    <x v="43"/>
    <x v="0"/>
    <x v="5"/>
    <s v="Grey"/>
    <x v="6"/>
    <x v="0"/>
    <n v="195.74"/>
    <n v="1"/>
    <n v="195.74"/>
  </r>
  <r>
    <s v="S449"/>
    <x v="267"/>
    <x v="1"/>
    <x v="4"/>
    <s v="Grey"/>
    <x v="3"/>
    <x v="0"/>
    <n v="112.78"/>
    <n v="17"/>
    <n v="1917.26"/>
  </r>
  <r>
    <s v="S450"/>
    <x v="252"/>
    <x v="3"/>
    <x v="1"/>
    <s v="Black"/>
    <x v="5"/>
    <x v="0"/>
    <n v="48.37"/>
    <n v="14"/>
    <n v="677.18"/>
  </r>
  <r>
    <s v="S451"/>
    <x v="155"/>
    <x v="2"/>
    <x v="5"/>
    <s v="Blue"/>
    <x v="4"/>
    <x v="2"/>
    <n v="200.97"/>
    <n v="7"/>
    <n v="1406.79"/>
  </r>
  <r>
    <s v="S452"/>
    <x v="12"/>
    <x v="0"/>
    <x v="4"/>
    <s v="Red"/>
    <x v="6"/>
    <x v="1"/>
    <n v="152.85"/>
    <n v="13"/>
    <n v="1987.05"/>
  </r>
  <r>
    <s v="S453"/>
    <x v="111"/>
    <x v="4"/>
    <x v="0"/>
    <s v="Black"/>
    <x v="2"/>
    <x v="1"/>
    <n v="123.33"/>
    <n v="8"/>
    <n v="986.64"/>
  </r>
  <r>
    <s v="S454"/>
    <x v="226"/>
    <x v="5"/>
    <x v="3"/>
    <s v="Red"/>
    <x v="5"/>
    <x v="2"/>
    <n v="229.4"/>
    <n v="3"/>
    <n v="688.2"/>
  </r>
  <r>
    <s v="S455"/>
    <x v="269"/>
    <x v="1"/>
    <x v="2"/>
    <s v="Black"/>
    <x v="6"/>
    <x v="2"/>
    <n v="54.46"/>
    <n v="1"/>
    <n v="54.46"/>
  </r>
  <r>
    <s v="S456"/>
    <x v="203"/>
    <x v="2"/>
    <x v="1"/>
    <s v="Grey"/>
    <x v="1"/>
    <x v="0"/>
    <n v="138.38"/>
    <n v="11"/>
    <n v="1522.18"/>
  </r>
  <r>
    <s v="S457"/>
    <x v="99"/>
    <x v="5"/>
    <x v="4"/>
    <s v="Black"/>
    <x v="1"/>
    <x v="1"/>
    <n v="32.5"/>
    <n v="19"/>
    <n v="617.5"/>
  </r>
  <r>
    <s v="S458"/>
    <x v="270"/>
    <x v="2"/>
    <x v="0"/>
    <s v="Black"/>
    <x v="0"/>
    <x v="2"/>
    <n v="133.11000000000001"/>
    <n v="18"/>
    <n v="2395.98"/>
  </r>
  <r>
    <s v="S459"/>
    <x v="267"/>
    <x v="2"/>
    <x v="2"/>
    <s v="Green"/>
    <x v="4"/>
    <x v="2"/>
    <n v="42.39"/>
    <n v="7"/>
    <n v="296.73"/>
  </r>
  <r>
    <s v="S460"/>
    <x v="195"/>
    <x v="3"/>
    <x v="5"/>
    <s v="White"/>
    <x v="5"/>
    <x v="2"/>
    <n v="56.14"/>
    <n v="10"/>
    <n v="561.4"/>
  </r>
  <r>
    <s v="S461"/>
    <x v="105"/>
    <x v="4"/>
    <x v="3"/>
    <s v="Green"/>
    <x v="0"/>
    <x v="1"/>
    <n v="55.86"/>
    <n v="18"/>
    <n v="1005.48"/>
  </r>
  <r>
    <s v="S462"/>
    <x v="26"/>
    <x v="1"/>
    <x v="4"/>
    <s v="Black"/>
    <x v="1"/>
    <x v="2"/>
    <n v="172.83"/>
    <n v="17"/>
    <n v="2938.11"/>
  </r>
  <r>
    <s v="S463"/>
    <x v="271"/>
    <x v="4"/>
    <x v="5"/>
    <s v="Grey"/>
    <x v="5"/>
    <x v="2"/>
    <n v="194.13"/>
    <n v="3"/>
    <n v="582.39"/>
  </r>
  <r>
    <s v="S464"/>
    <x v="272"/>
    <x v="1"/>
    <x v="4"/>
    <s v="Red"/>
    <x v="6"/>
    <x v="0"/>
    <n v="158.34"/>
    <n v="1"/>
    <n v="158.34"/>
  </r>
  <r>
    <s v="S465"/>
    <x v="273"/>
    <x v="5"/>
    <x v="3"/>
    <s v="White"/>
    <x v="2"/>
    <x v="1"/>
    <n v="241.68"/>
    <n v="18"/>
    <n v="4350.24"/>
  </r>
  <r>
    <s v="S466"/>
    <x v="107"/>
    <x v="0"/>
    <x v="5"/>
    <s v="Blue"/>
    <x v="4"/>
    <x v="0"/>
    <n v="112.47"/>
    <n v="13"/>
    <n v="1462.11"/>
  </r>
  <r>
    <s v="S467"/>
    <x v="50"/>
    <x v="4"/>
    <x v="2"/>
    <s v="Red"/>
    <x v="2"/>
    <x v="1"/>
    <n v="92.86"/>
    <n v="3"/>
    <n v="278.58"/>
  </r>
  <r>
    <s v="S468"/>
    <x v="19"/>
    <x v="4"/>
    <x v="4"/>
    <s v="Black"/>
    <x v="1"/>
    <x v="0"/>
    <n v="221.09"/>
    <n v="13"/>
    <n v="2874.17"/>
  </r>
  <r>
    <s v="S469"/>
    <x v="274"/>
    <x v="4"/>
    <x v="4"/>
    <s v="Black"/>
    <x v="0"/>
    <x v="0"/>
    <n v="79.19"/>
    <n v="15"/>
    <n v="1187.8499999999999"/>
  </r>
  <r>
    <s v="S470"/>
    <x v="46"/>
    <x v="5"/>
    <x v="5"/>
    <s v="Grey"/>
    <x v="5"/>
    <x v="2"/>
    <n v="241.91"/>
    <n v="14"/>
    <n v="3386.74"/>
  </r>
  <r>
    <s v="S471"/>
    <x v="6"/>
    <x v="0"/>
    <x v="4"/>
    <s v="Grey"/>
    <x v="1"/>
    <x v="1"/>
    <n v="32.67"/>
    <n v="1"/>
    <n v="32.67"/>
  </r>
  <r>
    <s v="S472"/>
    <x v="146"/>
    <x v="5"/>
    <x v="1"/>
    <s v="Blue"/>
    <x v="6"/>
    <x v="2"/>
    <n v="243.37"/>
    <n v="11"/>
    <n v="2677.07"/>
  </r>
  <r>
    <s v="S473"/>
    <x v="275"/>
    <x v="3"/>
    <x v="5"/>
    <s v="Grey"/>
    <x v="0"/>
    <x v="1"/>
    <n v="39.5"/>
    <n v="18"/>
    <n v="711"/>
  </r>
  <r>
    <s v="S474"/>
    <x v="276"/>
    <x v="3"/>
    <x v="4"/>
    <s v="Blue"/>
    <x v="3"/>
    <x v="2"/>
    <n v="226.05"/>
    <n v="6"/>
    <n v="1356.3"/>
  </r>
  <r>
    <s v="S475"/>
    <x v="153"/>
    <x v="3"/>
    <x v="3"/>
    <s v="Blue"/>
    <x v="6"/>
    <x v="2"/>
    <n v="146.09"/>
    <n v="3"/>
    <n v="438.27"/>
  </r>
  <r>
    <s v="S476"/>
    <x v="147"/>
    <x v="4"/>
    <x v="4"/>
    <s v="White"/>
    <x v="2"/>
    <x v="1"/>
    <n v="248.45"/>
    <n v="3"/>
    <n v="745.35"/>
  </r>
  <r>
    <s v="S477"/>
    <x v="277"/>
    <x v="2"/>
    <x v="2"/>
    <s v="Red"/>
    <x v="1"/>
    <x v="0"/>
    <n v="46.24"/>
    <n v="20"/>
    <n v="924.8"/>
  </r>
  <r>
    <s v="S478"/>
    <x v="76"/>
    <x v="5"/>
    <x v="4"/>
    <s v="Grey"/>
    <x v="6"/>
    <x v="2"/>
    <n v="151.85"/>
    <n v="1"/>
    <n v="151.85"/>
  </r>
  <r>
    <s v="S479"/>
    <x v="89"/>
    <x v="5"/>
    <x v="0"/>
    <s v="Grey"/>
    <x v="0"/>
    <x v="2"/>
    <n v="243.25"/>
    <n v="11"/>
    <n v="2675.75"/>
  </r>
  <r>
    <s v="S480"/>
    <x v="77"/>
    <x v="1"/>
    <x v="2"/>
    <s v="Red"/>
    <x v="3"/>
    <x v="0"/>
    <n v="145.08000000000001"/>
    <n v="20"/>
    <n v="2901.6"/>
  </r>
  <r>
    <s v="S481"/>
    <x v="165"/>
    <x v="4"/>
    <x v="0"/>
    <s v="Green"/>
    <x v="2"/>
    <x v="2"/>
    <n v="168.47"/>
    <n v="11"/>
    <n v="1853.17"/>
  </r>
  <r>
    <s v="S482"/>
    <x v="260"/>
    <x v="4"/>
    <x v="3"/>
    <s v="Blue"/>
    <x v="4"/>
    <x v="2"/>
    <n v="183.06"/>
    <n v="8"/>
    <n v="1464.48"/>
  </r>
  <r>
    <s v="S483"/>
    <x v="213"/>
    <x v="2"/>
    <x v="2"/>
    <s v="Grey"/>
    <x v="5"/>
    <x v="0"/>
    <n v="130"/>
    <n v="4"/>
    <n v="520"/>
  </r>
  <r>
    <s v="S484"/>
    <x v="278"/>
    <x v="0"/>
    <x v="0"/>
    <s v="Red"/>
    <x v="2"/>
    <x v="0"/>
    <n v="168.06"/>
    <n v="18"/>
    <n v="3025.08"/>
  </r>
  <r>
    <s v="S485"/>
    <x v="279"/>
    <x v="1"/>
    <x v="1"/>
    <s v="Red"/>
    <x v="2"/>
    <x v="2"/>
    <n v="158.55000000000001"/>
    <n v="10"/>
    <n v="1585.5"/>
  </r>
  <r>
    <s v="S486"/>
    <x v="1"/>
    <x v="3"/>
    <x v="4"/>
    <s v="Green"/>
    <x v="0"/>
    <x v="1"/>
    <n v="228.25"/>
    <n v="10"/>
    <n v="2282.5"/>
  </r>
  <r>
    <s v="S487"/>
    <x v="2"/>
    <x v="0"/>
    <x v="3"/>
    <s v="Grey"/>
    <x v="6"/>
    <x v="1"/>
    <n v="40"/>
    <n v="13"/>
    <n v="520"/>
  </r>
  <r>
    <s v="S488"/>
    <x v="188"/>
    <x v="2"/>
    <x v="0"/>
    <s v="Red"/>
    <x v="5"/>
    <x v="0"/>
    <n v="91.81"/>
    <n v="18"/>
    <n v="1652.58"/>
  </r>
  <r>
    <s v="S489"/>
    <x v="280"/>
    <x v="2"/>
    <x v="0"/>
    <s v="Black"/>
    <x v="1"/>
    <x v="0"/>
    <n v="239.09"/>
    <n v="18"/>
    <n v="4303.62"/>
  </r>
  <r>
    <s v="S490"/>
    <x v="139"/>
    <x v="3"/>
    <x v="0"/>
    <s v="Grey"/>
    <x v="1"/>
    <x v="1"/>
    <n v="225.86"/>
    <n v="12"/>
    <n v="2710.32"/>
  </r>
  <r>
    <s v="S491"/>
    <x v="203"/>
    <x v="4"/>
    <x v="3"/>
    <s v="Black"/>
    <x v="1"/>
    <x v="0"/>
    <n v="130.24"/>
    <n v="13"/>
    <n v="1693.12"/>
  </r>
  <r>
    <s v="S492"/>
    <x v="113"/>
    <x v="2"/>
    <x v="0"/>
    <s v="Grey"/>
    <x v="5"/>
    <x v="1"/>
    <n v="166.43"/>
    <n v="8"/>
    <n v="1331.44"/>
  </r>
  <r>
    <s v="S493"/>
    <x v="83"/>
    <x v="3"/>
    <x v="3"/>
    <s v="Blue"/>
    <x v="6"/>
    <x v="2"/>
    <n v="91.02"/>
    <n v="19"/>
    <n v="1729.38"/>
  </r>
  <r>
    <s v="S494"/>
    <x v="67"/>
    <x v="1"/>
    <x v="5"/>
    <s v="White"/>
    <x v="3"/>
    <x v="0"/>
    <n v="71.39"/>
    <n v="19"/>
    <n v="1356.41"/>
  </r>
  <r>
    <s v="S495"/>
    <x v="147"/>
    <x v="4"/>
    <x v="3"/>
    <s v="Black"/>
    <x v="1"/>
    <x v="1"/>
    <n v="132.01"/>
    <n v="4"/>
    <n v="528.04"/>
  </r>
  <r>
    <s v="S496"/>
    <x v="281"/>
    <x v="4"/>
    <x v="4"/>
    <s v="Red"/>
    <x v="4"/>
    <x v="0"/>
    <n v="107.74"/>
    <n v="12"/>
    <n v="1292.8800000000001"/>
  </r>
  <r>
    <s v="S497"/>
    <x v="282"/>
    <x v="4"/>
    <x v="3"/>
    <s v="Black"/>
    <x v="6"/>
    <x v="1"/>
    <n v="158.4"/>
    <n v="16"/>
    <n v="2534.4"/>
  </r>
  <r>
    <s v="S498"/>
    <x v="82"/>
    <x v="4"/>
    <x v="1"/>
    <s v="Blue"/>
    <x v="1"/>
    <x v="1"/>
    <n v="47.1"/>
    <n v="15"/>
    <n v="706.5"/>
  </r>
  <r>
    <s v="S499"/>
    <x v="177"/>
    <x v="4"/>
    <x v="0"/>
    <s v="Black"/>
    <x v="2"/>
    <x v="0"/>
    <n v="244.37"/>
    <n v="1"/>
    <n v="244.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G Revenue"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M2:M3" firstHeaderRow="1" firstDataRow="1" firstDataCol="0"/>
  <pivotFields count="11">
    <pivotField showAll="0"/>
    <pivotField numFmtId="14" showAll="0">
      <items count="15">
        <item h="1" x="0"/>
        <item h="1" x="1"/>
        <item h="1" x="2"/>
        <item x="3"/>
        <item h="1" x="4"/>
        <item h="1"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numFmtId="2" showAll="0"/>
    <pivotField dataField="1" dragToRow="0" dragToCol="0" dragToPage="0" showAll="0" defaultSubtotal="0"/>
  </pivotFields>
  <rowItems count="1">
    <i/>
  </rowItems>
  <colItems count="1">
    <i/>
  </colItems>
  <dataFields count="1">
    <dataField name="AVG Revenue" fld="10" baseField="0" baseItem="0" numFmtId="2"/>
  </dataFields>
  <formats count="35">
    <format dxfId="51">
      <pivotArea dataOnly="0" labelOnly="1" outline="0" axis="axisValues" fieldPosition="0"/>
    </format>
    <format dxfId="50">
      <pivotArea dataOnly="0" labelOnly="1" outline="0" axis="axisValues" fieldPosition="0"/>
    </format>
    <format dxfId="49">
      <pivotArea dataOnly="0" labelOnly="1" outline="0" axis="axisValues" fieldPosition="0"/>
    </format>
    <format dxfId="48">
      <pivotArea dataOnly="0" labelOnly="1" outline="0" axis="axisValues"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dataOnly="0" labelOnly="1" outline="0" axis="axisValues" fieldPosition="0"/>
    </format>
    <format dxfId="35">
      <pivotArea type="all" dataOnly="0" outline="0" fieldPosition="0"/>
    </format>
    <format dxfId="34">
      <pivotArea dataOnly="0" labelOnly="1" outline="0" axis="axisValues" fieldPosition="0"/>
    </format>
    <format dxfId="33">
      <pivotArea dataOnly="0" labelOnly="1" outline="0" axis="axisValues" fieldPosition="0"/>
    </format>
    <format dxfId="32">
      <pivotArea outline="0" collapsedLevelsAreSubtotals="1" fieldPosition="0"/>
    </format>
    <format dxfId="31">
      <pivotArea type="all" dataOnly="0" outline="0" fieldPosition="0"/>
    </format>
    <format dxfId="30">
      <pivotArea dataOnly="0" labelOnly="1" outline="0" axis="axisValues" fieldPosition="0"/>
    </format>
    <format dxfId="29">
      <pivotArea type="all" dataOnly="0" outline="0" fieldPosition="0"/>
    </format>
    <format dxfId="28">
      <pivotArea type="all" dataOnly="0" outline="0" fieldPosition="0"/>
    </format>
    <format dxfId="27">
      <pivotArea type="all" dataOnly="0" outline="0" fieldPosition="0"/>
    </format>
    <format dxfId="26">
      <pivotArea type="all" dataOnly="0" outline="0" fieldPosition="0"/>
    </format>
    <format dxfId="25">
      <pivotArea type="all" dataOnly="0" outline="0"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 dxfId="19">
      <pivotArea type="all" dataOnly="0" outline="0" fieldPosition="0"/>
    </format>
    <format dxfId="18">
      <pivotArea dataOnly="0" labelOnly="1" outline="0" axis="axisValues" fieldPosition="0"/>
    </format>
    <format dxfId="17">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Revenue"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K2:K3" firstHeaderRow="1" firstDataRow="1" firstDataCol="0"/>
  <pivotFields count="11">
    <pivotField showAll="0"/>
    <pivotField numFmtId="14" showAll="0">
      <items count="15">
        <item h="1" x="0"/>
        <item h="1" x="1"/>
        <item h="1" x="2"/>
        <item x="3"/>
        <item h="1" x="4"/>
        <item h="1"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Items count="1">
    <i/>
  </rowItems>
  <colItems count="1">
    <i/>
  </colItems>
  <dataFields count="1">
    <dataField name="Total Revenue" fld="9" baseField="0" baseItem="0" numFmtId="164"/>
  </dataFields>
  <formats count="51">
    <format dxfId="102">
      <pivotArea dataOnly="0" labelOnly="1" outline="0" axis="axisValues" fieldPosition="0"/>
    </format>
    <format dxfId="101">
      <pivotArea outline="0" collapsedLevelsAreSubtotals="1" fieldPosition="0"/>
    </format>
    <format dxfId="100">
      <pivotArea outline="0" collapsedLevelsAreSubtotals="1" fieldPosition="0"/>
    </format>
    <format dxfId="99">
      <pivotArea dataOnly="0" labelOnly="1" outline="0" axis="axisValues" fieldPosition="0"/>
    </format>
    <format dxfId="98">
      <pivotArea dataOnly="0" labelOnly="1" outline="0" axis="axisValues" fieldPosition="0"/>
    </format>
    <format dxfId="97">
      <pivotArea dataOnly="0" labelOnly="1" outline="0" axis="axisValues" fieldPosition="0"/>
    </format>
    <format dxfId="96">
      <pivotArea dataOnly="0" labelOnly="1" outline="0" axis="axisValues"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dataOnly="0" labelOnly="1" outline="0" axis="axisValues"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dataOnly="0" labelOnly="1" outline="0" axis="axisValues" fieldPosition="0"/>
    </format>
    <format dxfId="82">
      <pivotArea dataOnly="0" labelOnly="1" outline="0" axis="axisValues" fieldPosition="0"/>
    </format>
    <format dxfId="81">
      <pivotArea outline="0" collapsedLevelsAreSubtotals="1" fieldPosition="0"/>
    </format>
    <format dxfId="80">
      <pivotArea dataOnly="0" labelOnly="1" outline="0" axis="axisValues" fieldPosition="0"/>
    </format>
    <format dxfId="79">
      <pivotArea dataOnly="0" labelOnly="1" outline="0" axis="axisValues" fieldPosition="0"/>
    </format>
    <format dxfId="78">
      <pivotArea type="all" dataOnly="0" outline="0" fieldPosition="0"/>
    </format>
    <format dxfId="77">
      <pivotArea dataOnly="0" labelOnly="1" outline="0" axis="axisValues" fieldPosition="0"/>
    </format>
    <format dxfId="76">
      <pivotArea dataOnly="0" labelOnly="1" outline="0" axis="axisValues" fieldPosition="0"/>
    </format>
    <format dxfId="75">
      <pivotArea dataOnly="0" labelOnly="1" outline="0" axis="axisValues" fieldPosition="0"/>
    </format>
    <format dxfId="74">
      <pivotArea dataOnly="0" labelOnly="1" outline="0" axis="axisValues" fieldPosition="0"/>
    </format>
    <format dxfId="73">
      <pivotArea type="all" dataOnly="0" outline="0" fieldPosition="0"/>
    </format>
    <format dxfId="72">
      <pivotArea type="all" dataOnly="0" outline="0" fieldPosition="0"/>
    </format>
    <format dxfId="71">
      <pivotArea type="all" dataOnly="0" outline="0" fieldPosition="0"/>
    </format>
    <format dxfId="70">
      <pivotArea type="all" dataOnly="0" outline="0" fieldPosition="0"/>
    </format>
    <format dxfId="69">
      <pivotArea type="all" dataOnly="0" outline="0" fieldPosition="0"/>
    </format>
    <format dxfId="68">
      <pivotArea type="all" dataOnly="0" outline="0" fieldPosition="0"/>
    </format>
    <format dxfId="67">
      <pivotArea dataOnly="0" labelOnly="1" outline="0" axis="axisValues" fieldPosition="0"/>
    </format>
    <format dxfId="66">
      <pivotArea dataOnly="0" labelOnly="1" outline="0" axis="axisValues" fieldPosition="0"/>
    </format>
    <format dxfId="65">
      <pivotArea dataOnly="0" labelOnly="1" outline="0" axis="axisValues"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dataOnly="0" labelOnly="1" outline="0" axis="axisValues" fieldPosition="0"/>
    </format>
    <format dxfId="59">
      <pivotArea type="all" dataOnly="0" outline="0" fieldPosition="0"/>
    </format>
    <format dxfId="58">
      <pivotArea dataOnly="0" labelOnly="1" outline="0" axis="axisValues" fieldPosition="0"/>
    </format>
    <format dxfId="57">
      <pivotArea outline="0" collapsedLevelsAreSubtotals="1" fieldPosition="0"/>
    </format>
    <format dxfId="56">
      <pivotArea type="all" dataOnly="0" outline="0" fieldPosition="0"/>
    </format>
    <format dxfId="55">
      <pivotArea dataOnly="0" labelOnly="1" outline="0" axis="axisValues" fieldPosition="0"/>
    </format>
    <format dxfId="54">
      <pivotArea dataOnly="0" labelOnly="1" outline="0" axis="axisValues" fieldPosition="0"/>
    </format>
    <format dxfId="53">
      <pivotArea dataOnly="0" labelOnly="1" outline="0" axis="axisValues" fieldPosition="0"/>
    </format>
    <format dxfId="52">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old"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S2:S3" firstHeaderRow="1" firstDataRow="1" firstDataCol="0"/>
  <pivotFields count="11">
    <pivotField showAll="0"/>
    <pivotField numFmtId="14" showAll="0">
      <items count="15">
        <item h="1" x="0"/>
        <item h="1" x="1"/>
        <item h="1" x="2"/>
        <item x="3"/>
        <item h="1" x="4"/>
        <item h="1"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Items count="1">
    <i/>
  </rowItems>
  <colItems count="1">
    <i/>
  </colItems>
  <dataFields count="1">
    <dataField name="Total Sold (Pcs)" fld="8" baseField="0" baseItem="0"/>
  </dataFields>
  <formats count="32">
    <format dxfId="134">
      <pivotArea dataOnly="0" labelOnly="1" outline="0" axis="axisValues" fieldPosition="0"/>
    </format>
    <format dxfId="133">
      <pivotArea dataOnly="0" labelOnly="1" outline="0" axis="axisValues" fieldPosition="0"/>
    </format>
    <format dxfId="132">
      <pivotArea dataOnly="0" labelOnly="1" outline="0" axis="axisValues"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dataOnly="0" labelOnly="1" outline="0" axis="axisValues" fieldPosition="0"/>
    </format>
    <format dxfId="120">
      <pivotArea type="all" dataOnly="0" outline="0" fieldPosition="0"/>
    </format>
    <format dxfId="119">
      <pivotArea type="all" dataOnly="0" outline="0" fieldPosition="0"/>
    </format>
    <format dxfId="118">
      <pivotArea type="all" dataOnly="0" outline="0" fieldPosition="0"/>
    </format>
    <format dxfId="117">
      <pivotArea type="all" dataOnly="0" outline="0"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dataOnly="0" labelOnly="1" outline="0" axis="axisValues" fieldPosition="0"/>
    </format>
    <format dxfId="112">
      <pivotArea dataOnly="0" labelOnly="1" outline="0" axis="axisValues" fieldPosition="0"/>
    </format>
    <format dxfId="111">
      <pivotArea dataOnly="0" labelOnly="1" outline="0" axis="axisValues" fieldPosition="0"/>
    </format>
    <format dxfId="110">
      <pivotArea dataOnly="0" labelOnly="1" outline="0" axis="axisValues" fieldPosition="0"/>
    </format>
    <format dxfId="109">
      <pivotArea outline="0" collapsedLevelsAreSubtotals="1" fieldPosition="0"/>
    </format>
    <format dxfId="108">
      <pivotArea type="all" dataOnly="0" outline="0"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outline="0" collapsedLevelsAreSubtotals="1" fieldPosition="0"/>
    </format>
    <format dxfId="103">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Transaction"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Q2:Q3" firstHeaderRow="1" firstDataRow="1" firstDataCol="0"/>
  <pivotFields count="11">
    <pivotField dataField="1" showAll="0"/>
    <pivotField numFmtId="14" showAll="0">
      <items count="15">
        <item h="1" x="0"/>
        <item h="1" x="1"/>
        <item h="1" x="2"/>
        <item x="3"/>
        <item h="1" x="4"/>
        <item h="1"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numFmtId="2" showAll="0"/>
    <pivotField dragToRow="0" dragToCol="0" dragToPage="0" showAll="0" defaultSubtotal="0"/>
  </pivotFields>
  <rowItems count="1">
    <i/>
  </rowItems>
  <colItems count="1">
    <i/>
  </colItems>
  <dataFields count="1">
    <dataField name="Total Transaction" fld="0" subtotal="count" baseField="0" baseItem="0"/>
  </dataFields>
  <formats count="34">
    <format dxfId="168">
      <pivotArea dataOnly="0" labelOnly="1" outline="0" axis="axisValues" fieldPosition="0"/>
    </format>
    <format dxfId="167">
      <pivotArea outline="0" collapsedLevelsAreSubtotals="1" fieldPosition="0"/>
    </format>
    <format dxfId="166">
      <pivotArea dataOnly="0" labelOnly="1" outline="0" axis="axisValues" fieldPosition="0"/>
    </format>
    <format dxfId="165">
      <pivotArea dataOnly="0" labelOnly="1" outline="0" axis="axisValues"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 dxfId="159">
      <pivotArea type="all" dataOnly="0" outline="0" fieldPosition="0"/>
    </format>
    <format dxfId="158">
      <pivotArea outline="0" collapsedLevelsAreSubtotals="1"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dataOnly="0" labelOnly="1" outline="0" axis="axisValues" fieldPosition="0"/>
    </format>
    <format dxfId="153">
      <pivotArea dataOnly="0" labelOnly="1" outline="0" axis="axisValues" fieldPosition="0"/>
    </format>
    <format dxfId="152">
      <pivotArea dataOnly="0" labelOnly="1" outline="0" axis="axisValues" fieldPosition="0"/>
    </format>
    <format dxfId="151">
      <pivotArea type="all" dataOnly="0" outline="0" fieldPosition="0"/>
    </format>
    <format dxfId="150">
      <pivotArea dataOnly="0" labelOnly="1" outline="0" axis="axisValues" fieldPosition="0"/>
    </format>
    <format dxfId="149">
      <pivotArea type="all" dataOnly="0" outline="0" fieldPosition="0"/>
    </format>
    <format dxfId="148">
      <pivotArea type="all" dataOnly="0" outline="0" fieldPosition="0"/>
    </format>
    <format dxfId="147">
      <pivotArea type="all" dataOnly="0" outline="0" fieldPosition="0"/>
    </format>
    <format dxfId="146">
      <pivotArea type="all" dataOnly="0" outline="0"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dataOnly="0" labelOnly="1" outline="0" axis="axisValues" fieldPosition="0"/>
    </format>
    <format dxfId="141">
      <pivotArea dataOnly="0" labelOnly="1" outline="0" axis="axisValues" fieldPosition="0"/>
    </format>
    <format dxfId="140">
      <pivotArea dataOnly="0" labelOnly="1" outline="0" axis="axisValues" fieldPosition="0"/>
    </format>
    <format dxfId="139">
      <pivotArea type="all" dataOnly="0" outline="0" fieldPosition="0"/>
    </format>
    <format dxfId="138">
      <pivotArea dataOnly="0" labelOnly="1" outline="0" axis="axisValues" fieldPosition="0"/>
    </format>
    <format dxfId="137">
      <pivotArea dataOnly="0" labelOnly="1" outline="0" axis="axisValues" fieldPosition="0"/>
    </format>
    <format dxfId="136">
      <pivotArea outline="0" collapsedLevelsAreSubtotals="1" fieldPosition="0"/>
    </format>
    <format dxfId="135">
      <pivotArea type="all" dataOnly="0"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_Rev"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3:C16"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baseField="0" baseItem="0" numFmtId="168"/>
  </dataFields>
  <formats count="1">
    <format dxfId="15">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_Dash"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19:C21" firstHeaderRow="1" firstDataRow="1" firstDataCol="1"/>
  <pivotFields count="11">
    <pivotField showAll="0"/>
    <pivotField axis="axisRow" numFmtId="14" showAll="0">
      <items count="15">
        <item h="1" x="0"/>
        <item h="1" x="1"/>
        <item h="1" x="2"/>
        <item x="3"/>
        <item h="1" x="4"/>
        <item h="1" x="5"/>
        <item h="1" x="6"/>
        <item h="1" x="7"/>
        <item h="1" x="8"/>
        <item h="1" x="9"/>
        <item h="1" x="10"/>
        <item h="1" x="11"/>
        <item h="1" x="12"/>
        <item h="1"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2">
    <i>
      <x v="3"/>
    </i>
    <i t="grand">
      <x/>
    </i>
  </rowItems>
  <colItems count="1">
    <i/>
  </colItems>
  <dataFields count="1">
    <dataField name="Sum of Revenue_USD" fld="9" baseField="0" baseItem="0" numFmtId="168"/>
  </dataFields>
  <formats count="1">
    <format dxfId="16">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p Country"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0">
  <location ref="D3:E7" firstHeaderRow="1" firstDataRow="1" firstDataCol="1"/>
  <pivotFields count="11">
    <pivotField showAll="0"/>
    <pivotField numFmtId="166" showAll="0">
      <items count="15">
        <item h="1" x="0"/>
        <item h="1" x="1"/>
        <item h="1" x="2"/>
        <item x="3"/>
        <item h="1" x="4"/>
        <item h="1" x="5"/>
        <item h="1" x="6"/>
        <item h="1" x="7"/>
        <item h="1" x="8"/>
        <item h="1"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ascending">
      <items count="8">
        <item x="3"/>
        <item x="6"/>
        <item x="5"/>
        <item x="4"/>
        <item x="2"/>
        <item x="0"/>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5"/>
  </rowFields>
  <rowItems count="4">
    <i>
      <x v="5"/>
    </i>
    <i>
      <x v="6"/>
    </i>
    <i>
      <x v="2"/>
    </i>
    <i t="grand">
      <x/>
    </i>
  </rowItems>
  <colItems count="1">
    <i/>
  </colItems>
  <dataFields count="1">
    <dataField name="Sum of Revenue_USD" fld="9" baseField="0" baseItem="0" numFmtId="168"/>
  </dataFields>
  <formats count="1">
    <format dxfId="1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p Bra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7" firstHeaderRow="1" firstDataRow="1" firstDataCol="1"/>
  <pivotFields count="11">
    <pivotField showAll="0"/>
    <pivotField numFmtId="166" showAll="0">
      <items count="15">
        <item h="1" x="0"/>
        <item h="1" x="1"/>
        <item h="1" x="2"/>
        <item x="3"/>
        <item h="1" x="4"/>
        <item h="1" x="5"/>
        <item h="1" x="6"/>
        <item h="1" x="7"/>
        <item h="1" x="8"/>
        <item h="1" x="9"/>
        <item h="1" x="10"/>
        <item h="1" x="11"/>
        <item h="1" x="12"/>
        <item h="1" x="13"/>
        <item t="default"/>
      </items>
    </pivotField>
    <pivotField axis="axisRow" showAll="0" measureFilter="1"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4">
    <i>
      <x v="5"/>
    </i>
    <i>
      <x v="4"/>
    </i>
    <i>
      <x/>
    </i>
    <i t="grand">
      <x/>
    </i>
  </rowItems>
  <colItems count="1">
    <i/>
  </colItems>
  <dataFields count="1">
    <dataField name="Sum of Revenue_USD" fld="9" baseField="0" baseItem="0" numFmtId="168"/>
  </dataFields>
  <formats count="1">
    <format dxfId="12">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p Chann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9">
  <location ref="G3:H7" firstHeaderRow="1" firstDataRow="1" firstDataCol="1"/>
  <pivotFields count="11">
    <pivotField showAll="0"/>
    <pivotField numFmtId="166" showAll="0">
      <items count="15">
        <item h="1" x="0"/>
        <item h="1" x="1"/>
        <item h="1" x="2"/>
        <item x="3"/>
        <item h="1" x="4"/>
        <item h="1" x="5"/>
        <item h="1" x="6"/>
        <item h="1" x="7"/>
        <item h="1" x="8"/>
        <item h="1"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8">
        <item h="1" x="3"/>
        <item x="6"/>
        <item h="1" x="5"/>
        <item h="1" x="4"/>
        <item h="1" x="2"/>
        <item h="1" x="0"/>
        <item h="1" x="1"/>
        <item t="default"/>
      </items>
      <autoSortScope>
        <pivotArea dataOnly="0" outline="0" fieldPosition="0">
          <references count="1">
            <reference field="4294967294" count="1" selected="0">
              <x v="0"/>
            </reference>
          </references>
        </pivotArea>
      </autoSortScope>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2" showAll="0"/>
    <pivotField dragToRow="0" dragToCol="0" dragToPage="0" showAll="0" defaultSubtotal="0"/>
  </pivotFields>
  <rowFields count="1">
    <field x="6"/>
  </rowFields>
  <rowItems count="4">
    <i>
      <x/>
    </i>
    <i>
      <x v="1"/>
    </i>
    <i>
      <x v="2"/>
    </i>
    <i t="grand">
      <x/>
    </i>
  </rowItems>
  <colItems count="1">
    <i/>
  </colItems>
  <dataFields count="1">
    <dataField name="Sum of Revenue_USD" fld="9" baseField="6" baseItem="0" numFmtId="168"/>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18"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sold_shoestyp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H2:I7" firstHeaderRow="1" firstDataRow="1" firstDataCol="1"/>
  <pivotFields count="11">
    <pivotField showAll="0"/>
    <pivotField numFmtId="14" showAll="0">
      <items count="15">
        <item h="1" x="0"/>
        <item h="1" x="1"/>
        <item h="1" x="2"/>
        <item x="3"/>
        <item h="1" x="4"/>
        <item h="1" x="5"/>
        <item h="1" x="6"/>
        <item h="1" x="7"/>
        <item h="1" x="8"/>
        <item h="1" x="9"/>
        <item h="1" x="10"/>
        <item h="1" x="11"/>
        <item h="1" x="12"/>
        <item h="1" x="13"/>
        <item t="default"/>
      </items>
    </pivotField>
    <pivotField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axis="axisRow" showAll="0" sortType="descending">
      <items count="7">
        <item x="0"/>
        <item x="2"/>
        <item x="3"/>
        <item x="1"/>
        <item x="5"/>
        <item x="4"/>
        <item t="default"/>
      </items>
      <autoSortScope>
        <pivotArea dataOnly="0" outline="0" fieldPosition="0">
          <references count="1">
            <reference field="4294967294" count="1" selected="0">
              <x v="0"/>
            </reference>
          </references>
        </pivotArea>
      </autoSortScope>
    </pivotField>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Fields count="1">
    <field x="3"/>
  </rowFields>
  <rowItems count="5">
    <i>
      <x v="1"/>
    </i>
    <i>
      <x v="3"/>
    </i>
    <i>
      <x v="4"/>
    </i>
    <i>
      <x v="2"/>
    </i>
    <i t="grand">
      <x/>
    </i>
  </rowItems>
  <colItems count="1">
    <i/>
  </colItems>
  <dataFields count="1">
    <dataField name="Sum of Units_Sold" fld="8" baseField="0" baseItem="0" numFmtId="1"/>
  </dataFields>
  <formats count="1">
    <format dxfId="4">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Monthly Revenu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B2:C1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baseField="0" baseItem="0" numFmtId="168"/>
  </dataFields>
  <formats count="1">
    <format dxfId="5">
      <pivotArea outline="0" collapsedLevelsAreSubtotals="1" fieldPosition="0"/>
    </format>
  </format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Totalsold_Bran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K2:L7" firstHeaderRow="1" firstDataRow="1" firstDataCol="1"/>
  <pivotFields count="11">
    <pivotField showAll="0"/>
    <pivotField numFmtId="14" showAll="0">
      <items count="15">
        <item h="1" x="0"/>
        <item h="1" x="1"/>
        <item h="1" x="2"/>
        <item x="3"/>
        <item h="1" x="4"/>
        <item h="1" x="5"/>
        <item h="1" x="6"/>
        <item h="1" x="7"/>
        <item h="1" x="8"/>
        <item h="1" x="9"/>
        <item h="1" x="10"/>
        <item h="1" x="11"/>
        <item h="1" x="12"/>
        <item h="1" x="13"/>
        <item t="default"/>
      </items>
    </pivotField>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dataField="1" showAll="0"/>
    <pivotField numFmtId="2" showAll="0"/>
    <pivotField dragToRow="0" dragToCol="0" dragToPage="0" showAll="0" defaultSubtotal="0"/>
  </pivotFields>
  <rowFields count="1">
    <field x="2"/>
  </rowFields>
  <rowItems count="5">
    <i>
      <x/>
    </i>
    <i>
      <x v="5"/>
    </i>
    <i>
      <x v="4"/>
    </i>
    <i>
      <x v="2"/>
    </i>
    <i t="grand">
      <x/>
    </i>
  </rowItems>
  <colItems count="1">
    <i/>
  </colItems>
  <dataFields count="1">
    <dataField name="Sum of Units_Sold" fld="8" baseField="0" baseItem="0" numFmtId="1"/>
  </dataFields>
  <formats count="1">
    <format dxfId="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Monthly Growth"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E2:F1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7">
        <item x="3"/>
        <item x="2"/>
        <item x="0"/>
        <item x="4"/>
        <item x="5"/>
        <item x="1"/>
        <item t="default"/>
      </items>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Revenue_USD" fld="9" showDataAs="percentDiff" baseField="1" baseItem="1048828" numFmtId="10"/>
  </dataFields>
  <formats count="4">
    <format dxfId="10">
      <pivotArea outline="0" collapsedLevelsAreSubtotals="1" fieldPosition="0"/>
    </format>
    <format dxfId="9">
      <pivotArea outline="0" collapsedLevelsAreSubtotals="1" fieldPosition="0"/>
    </format>
    <format dxfId="8">
      <pivotArea outline="0" fieldPosition="0">
        <references count="1">
          <reference field="4294967294" count="1">
            <x v="0"/>
          </reference>
        </references>
      </pivotArea>
    </format>
    <format dxfId="7">
      <pivotArea collapsedLevelsAreSubtotals="1" fieldPosition="0">
        <references count="1">
          <reference field="1" count="11">
            <x v="2"/>
            <x v="3"/>
            <x v="4"/>
            <x v="5"/>
            <x v="6"/>
            <x v="7"/>
            <x v="8"/>
            <x v="9"/>
            <x v="10"/>
            <x v="11"/>
            <x v="12"/>
          </reference>
        </references>
      </pivotArea>
    </format>
  </format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7E9E5BEF-C0EB-41E3-BD11-2895DC468239}">
            <x14:pivotAreas count="1">
              <pivotArea type="data" collapsedLevelsAreSubtotals="1" fieldPosition="0">
                <references count="2">
                  <reference field="4294967294" count="1" selected="0">
                    <x v="0"/>
                  </reference>
                  <reference field="1" count="1">
                    <x v="1"/>
                  </reference>
                </references>
              </pivotArea>
            </x14:pivotAreas>
          </x14:conditionalFormat>
        </x14:conditionalFormats>
      </x14:pivotTableDefinition>
    </ext>
  </extLst>
</pivotTableDefinition>
</file>

<file path=xl/pivotTables/pivotTable14.xml><?xml version="1.0" encoding="utf-8"?>
<pivotTableDefinition xmlns="http://schemas.openxmlformats.org/spreadsheetml/2006/main" name="Brand Contribu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E2:F7" firstHeaderRow="1" firstDataRow="1" firstDataCol="1"/>
  <pivotFields count="11">
    <pivotField showAll="0"/>
    <pivotField numFmtId="166" showAll="0">
      <items count="15">
        <item h="1" x="0"/>
        <item h="1" x="1"/>
        <item h="1" x="2"/>
        <item x="3"/>
        <item h="1" x="4"/>
        <item h="1" x="5"/>
        <item h="1" x="6"/>
        <item h="1" x="7"/>
        <item h="1" x="8"/>
        <item h="1" x="9"/>
        <item h="1" x="10"/>
        <item h="1" x="11"/>
        <item h="1" x="12"/>
        <item h="1" x="13"/>
        <item t="default"/>
      </items>
    </pivotField>
    <pivotField axis="axisRow" showAll="0" sortType="de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8">
        <item h="1" x="3"/>
        <item x="6"/>
        <item h="1" x="5"/>
        <item h="1" x="4"/>
        <item h="1" x="2"/>
        <item h="1" x="0"/>
        <item h="1" x="1"/>
        <item t="default"/>
      </items>
    </pivotField>
    <pivotField showAll="0">
      <items count="4">
        <item x="1"/>
        <item x="0"/>
        <item x="2"/>
        <item t="default"/>
      </items>
    </pivotField>
    <pivotField numFmtId="2" showAll="0"/>
    <pivotField showAll="0"/>
    <pivotField dataField="1" numFmtId="2" showAll="0"/>
    <pivotField dragToRow="0" dragToCol="0" dragToPage="0" showAll="0" defaultSubtotal="0"/>
  </pivotFields>
  <rowFields count="1">
    <field x="2"/>
  </rowFields>
  <rowItems count="5">
    <i>
      <x/>
    </i>
    <i>
      <x v="4"/>
    </i>
    <i>
      <x v="5"/>
    </i>
    <i>
      <x v="2"/>
    </i>
    <i t="grand">
      <x/>
    </i>
  </rowItems>
  <colItems count="1">
    <i/>
  </colItems>
  <dataFields count="1">
    <dataField name="Sum of Revenue_USD" fld="9" showDataAs="percentOfTotal" baseField="0"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Channel Contribu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3">
  <location ref="B2:C6" firstHeaderRow="1" firstDataRow="1" firstDataCol="1"/>
  <pivotFields count="11">
    <pivotField showAll="0"/>
    <pivotField numFmtId="166" showAll="0">
      <items count="15">
        <item h="1" x="0"/>
        <item h="1" x="1"/>
        <item h="1" x="2"/>
        <item x="3"/>
        <item h="1" x="4"/>
        <item h="1" x="5"/>
        <item h="1" x="6"/>
        <item h="1" x="7"/>
        <item h="1" x="8"/>
        <item h="1" x="9"/>
        <item h="1" x="10"/>
        <item h="1" x="11"/>
        <item h="1" x="12"/>
        <item h="1" x="13"/>
        <item t="default"/>
      </items>
    </pivotField>
    <pivotField showAll="0" sortType="ascending">
      <items count="7">
        <item x="3"/>
        <item x="2"/>
        <item x="0"/>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8">
        <item h="1" x="3"/>
        <item x="6"/>
        <item h="1" x="5"/>
        <item h="1" x="4"/>
        <item h="1" x="2"/>
        <item h="1" x="0"/>
        <item h="1" x="1"/>
        <item t="default"/>
      </items>
      <autoSortScope>
        <pivotArea dataOnly="0" outline="0" fieldPosition="0">
          <references count="1">
            <reference field="4294967294" count="1" selected="0">
              <x v="0"/>
            </reference>
          </references>
        </pivotArea>
      </autoSortScope>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numFmtId="2" showAll="0"/>
    <pivotField showAll="0"/>
    <pivotField dataField="1" numFmtId="2" showAll="0"/>
    <pivotField dragToRow="0" dragToCol="0" dragToPage="0" showAll="0" defaultSubtotal="0"/>
  </pivotFields>
  <rowFields count="1">
    <field x="6"/>
  </rowFields>
  <rowItems count="4">
    <i>
      <x/>
    </i>
    <i>
      <x v="1"/>
    </i>
    <i>
      <x v="2"/>
    </i>
    <i t="grand">
      <x/>
    </i>
  </rowItems>
  <colItems count="1">
    <i/>
  </colItems>
  <dataFields count="1">
    <dataField name="Sum of Revenue_USD" fld="9" showDataAs="percentOfTotal" baseField="6"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1"/>
          </reference>
        </references>
      </pivotArea>
    </chartFormat>
    <chartFormat chart="18" format="4">
      <pivotArea type="data" outline="0" fieldPosition="0">
        <references count="2">
          <reference field="4294967294" count="1" selected="0">
            <x v="0"/>
          </reference>
          <reference field="6"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Total Revenue"/>
    <pivotTable tabId="5" name="AVG Revenue"/>
    <pivotTable tabId="5" name="Total Sold"/>
    <pivotTable tabId="5" name="Total Transaction"/>
    <pivotTable tabId="10" name="Top Brand"/>
    <pivotTable tabId="10" name="Top Channel"/>
    <pivotTable tabId="11" name="Pivot_Dash"/>
    <pivotTable tabId="11" name="Pivot_Rev"/>
    <pivotTable tabId="12" name="Channel Contribution"/>
    <pivotTable tabId="12" name="Brand Contribution"/>
    <pivotTable tabId="13" name="Totalsold_shoestype"/>
    <pivotTable tabId="13" name="Monthly Growth"/>
    <pivotTable tabId="13" name="Totalsold_Brand"/>
    <pivotTable tabId="13" name="Monthly Revenue"/>
  </pivotTables>
  <data>
    <tabular pivotCacheId="1">
      <items count="7">
        <i x="3"/>
        <i x="6" s="1"/>
        <i x="5"/>
        <i x="4"/>
        <i x="2"/>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0" name="Top Country"/>
    <pivotTable tabId="5" name="AVG Revenue"/>
    <pivotTable tabId="5" name="Total Revenue"/>
    <pivotTable tabId="5" name="Total Sold"/>
    <pivotTable tabId="5" name="Total Transaction"/>
    <pivotTable tabId="10" name="Top Brand"/>
    <pivotTable tabId="10" name="Top Channel"/>
    <pivotTable tabId="11" name="Pivot_Dash"/>
    <pivotTable tabId="12" name="Channel Contribution"/>
    <pivotTable tabId="12" name="Brand Contribution"/>
    <pivotTable tabId="13" name="Totalsold_shoestype"/>
    <pivotTable tabId="13" name="Totalsold_Brand"/>
  </pivotTables>
  <data>
    <tabular pivotCacheId="1">
      <items count="14">
        <i x="1"/>
        <i x="2"/>
        <i x="3" s="1"/>
        <i x="4"/>
        <i x="5"/>
        <i x="6"/>
        <i x="7"/>
        <i x="8"/>
        <i x="9"/>
        <i x="10"/>
        <i x="11"/>
        <i x="12"/>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0" name="Top Country"/>
    <pivotTable tabId="5" name="AVG Revenue"/>
    <pivotTable tabId="5" name="Total Sold"/>
    <pivotTable tabId="5" name="Total Transaction"/>
    <pivotTable tabId="5" name="Total Revenue"/>
    <pivotTable tabId="11" name="Pivot_Dash"/>
    <pivotTable tabId="11" name="Pivot_Rev"/>
    <pivotTable tabId="12" name="Channel Contribution"/>
    <pivotTable tabId="12" name="Brand Contribution"/>
    <pivotTable tabId="13" name="Totalsold_shoestype"/>
    <pivotTable tabId="13" name="Monthly Growth"/>
    <pivotTable tabId="13" name="Totalsold_Brand"/>
    <pivotTable tabId="13" name="Monthly Revenue"/>
  </pivotTables>
  <data>
    <tabular pivotCacheId="1">
      <items count="6">
        <i x="3" s="1"/>
        <i x="2" s="1"/>
        <i x="0" s="1"/>
        <i x="4"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10" name="Top Country"/>
    <pivotTable tabId="5" name="AVG Revenue"/>
    <pivotTable tabId="5" name="Total Revenue"/>
    <pivotTable tabId="5" name="Total Sold"/>
    <pivotTable tabId="5" name="Total Transaction"/>
    <pivotTable tabId="10" name="Top Brand"/>
    <pivotTable tabId="11" name="Pivot_Dash"/>
    <pivotTable tabId="11" name="Pivot_Rev"/>
    <pivotTable tabId="12" name="Brand Contribution"/>
    <pivotTable tabId="13" name="Totalsold_shoestype"/>
    <pivotTable tabId="13" name="Monthly Growth"/>
    <pivotTable tabId="13" name="Totalsold_Brand"/>
    <pivotTable tabId="13" name="Monthly Revenue"/>
    <pivotTable tabId="10" name="Top Channel"/>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Light1 2" rowHeight="241300"/>
  <slicer name="Month" cache="Slicer_Date" caption="Month" style="SlicerStyleLight1 2" rowHeight="241300"/>
  <slicer name="Brand" cache="Slicer_Brand" caption="Brand" style="SlicerStyleLight1 2" rowHeight="241300"/>
  <slicer name="Sales_Channel" cache="Slicer_Sales_Channel" caption="Channel" style="SlicerStyleLight1 2" rowHeight="241300"/>
</slicers>
</file>

<file path=xl/tables/table1.xml><?xml version="1.0" encoding="utf-8"?>
<table xmlns="http://schemas.openxmlformats.org/spreadsheetml/2006/main" id="2" name="Table1.Sales_Data" displayName="Table1.Sales_Data" ref="A1:J500" totalsRowShown="0">
  <autoFilter ref="A1:J500"/>
  <tableColumns count="10">
    <tableColumn id="1" name="Sale_ID"/>
    <tableColumn id="2" name="Date" dataDxfId="171"/>
    <tableColumn id="3" name="Brand"/>
    <tableColumn id="4" name="Shoe_Type"/>
    <tableColumn id="5" name="Color"/>
    <tableColumn id="6" name="Country"/>
    <tableColumn id="7" name="Sales_Channel"/>
    <tableColumn id="8" name="Price_USD" dataDxfId="170"/>
    <tableColumn id="9" name="Units_Sold"/>
    <tableColumn id="10" name="Revenue_USD" dataDxfId="1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V50"/>
  <sheetViews>
    <sheetView tabSelected="1" view="pageBreakPreview" zoomScale="50" zoomScaleNormal="60" zoomScaleSheetLayoutView="50" zoomScalePageLayoutView="50" workbookViewId="0">
      <selection activeCell="Y32" sqref="Y32"/>
    </sheetView>
  </sheetViews>
  <sheetFormatPr defaultRowHeight="15" x14ac:dyDescent="0.25"/>
  <cols>
    <col min="1" max="2" width="8.7109375" style="12" customWidth="1"/>
    <col min="3" max="3" width="12.28515625" style="12" customWidth="1"/>
    <col min="4" max="4" width="8.42578125" style="12" customWidth="1"/>
    <col min="5" max="5" width="1.42578125" style="12" customWidth="1"/>
    <col min="6" max="6" width="1.5703125" style="12" customWidth="1"/>
    <col min="7" max="8" width="14.140625" style="12" customWidth="1"/>
    <col min="9" max="9" width="5.28515625" style="12" customWidth="1"/>
    <col min="10" max="10" width="8.28515625" style="12" customWidth="1"/>
    <col min="11" max="11" width="23.28515625" style="12" customWidth="1"/>
    <col min="12" max="12" width="8.7109375" style="12" customWidth="1"/>
    <col min="13" max="13" width="23.28515625" style="12" customWidth="1"/>
    <col min="14" max="14" width="8.7109375" style="12" customWidth="1"/>
    <col min="15" max="15" width="23.28515625" style="12" customWidth="1"/>
    <col min="16" max="16" width="8.7109375" style="12" customWidth="1"/>
    <col min="17" max="17" width="23.28515625" style="12" customWidth="1"/>
    <col min="18" max="18" width="8.7109375" style="20" customWidth="1"/>
    <col min="19" max="19" width="23.28515625" style="12" customWidth="1"/>
    <col min="20" max="20" width="8" style="13" customWidth="1"/>
    <col min="21" max="16384" width="9.140625" style="13"/>
  </cols>
  <sheetData>
    <row r="1" spans="1:22" ht="21.75" customHeight="1" x14ac:dyDescent="0.25">
      <c r="A1" s="52"/>
      <c r="B1" s="53"/>
      <c r="C1" s="53"/>
      <c r="D1" s="35"/>
      <c r="E1" s="35"/>
      <c r="F1" s="35"/>
      <c r="G1" s="35"/>
      <c r="H1" s="36"/>
      <c r="I1" s="36"/>
      <c r="J1" s="36"/>
      <c r="K1" s="36"/>
      <c r="L1" s="35"/>
      <c r="M1" s="35"/>
      <c r="N1" s="35"/>
      <c r="O1" s="35"/>
      <c r="P1" s="35"/>
      <c r="Q1" s="35"/>
      <c r="R1" s="35"/>
      <c r="S1" s="35"/>
      <c r="T1" s="37"/>
      <c r="U1" s="28"/>
      <c r="V1" s="28"/>
    </row>
    <row r="2" spans="1:22" ht="26.25" customHeight="1" x14ac:dyDescent="0.25">
      <c r="A2" s="38"/>
      <c r="B2" s="21"/>
      <c r="C2" s="21"/>
      <c r="D2" s="21"/>
      <c r="E2" s="22"/>
      <c r="F2" s="22"/>
      <c r="G2" s="21"/>
      <c r="H2" s="31"/>
      <c r="I2" s="31"/>
      <c r="J2" s="31"/>
      <c r="K2" s="44" t="s">
        <v>543</v>
      </c>
      <c r="L2" s="22"/>
      <c r="M2" s="46" t="s">
        <v>544</v>
      </c>
      <c r="N2" s="22"/>
      <c r="O2" s="49" t="s">
        <v>566</v>
      </c>
      <c r="P2" s="21"/>
      <c r="Q2" s="44" t="s">
        <v>545</v>
      </c>
      <c r="R2" s="22"/>
      <c r="S2" s="46" t="s">
        <v>546</v>
      </c>
      <c r="T2" s="39"/>
      <c r="U2" s="28"/>
      <c r="V2" s="28"/>
    </row>
    <row r="3" spans="1:22" ht="18.75" x14ac:dyDescent="0.25">
      <c r="A3" s="38"/>
      <c r="B3" s="21"/>
      <c r="C3" s="21"/>
      <c r="D3" s="21"/>
      <c r="E3" s="23"/>
      <c r="F3" s="23"/>
      <c r="G3" s="21"/>
      <c r="H3" s="31"/>
      <c r="I3" s="31"/>
      <c r="J3" s="31"/>
      <c r="K3" s="45">
        <v>5219.2999999999993</v>
      </c>
      <c r="L3" s="24"/>
      <c r="M3" s="47">
        <v>434.94166666666661</v>
      </c>
      <c r="N3" s="22"/>
      <c r="O3" s="40" t="str">
        <f>Pivot_KPI_Monthly_Growth_Table!E20</f>
        <v>▼ 10,22%</v>
      </c>
      <c r="P3" s="21"/>
      <c r="Q3" s="48">
        <v>6</v>
      </c>
      <c r="R3" s="24"/>
      <c r="S3" s="48">
        <v>55</v>
      </c>
      <c r="T3" s="39"/>
      <c r="U3" s="28"/>
      <c r="V3" s="28"/>
    </row>
    <row r="4" spans="1:22" ht="25.5" customHeight="1" x14ac:dyDescent="0.25">
      <c r="A4" s="38"/>
      <c r="B4" s="21"/>
      <c r="C4" s="21"/>
      <c r="D4" s="21"/>
      <c r="E4" s="25"/>
      <c r="F4" s="25"/>
      <c r="G4" s="22"/>
      <c r="H4" s="22"/>
      <c r="I4" s="22"/>
      <c r="J4" s="22"/>
      <c r="K4" s="22"/>
      <c r="L4" s="22"/>
      <c r="M4" s="22"/>
      <c r="N4" s="22"/>
      <c r="O4" s="22"/>
      <c r="P4" s="22"/>
      <c r="Q4" s="21"/>
      <c r="R4" s="21"/>
      <c r="S4" s="22"/>
      <c r="T4" s="39"/>
      <c r="U4" s="28"/>
      <c r="V4" s="28"/>
    </row>
    <row r="5" spans="1:22" ht="31.5" customHeight="1" x14ac:dyDescent="0.25">
      <c r="A5" s="38"/>
      <c r="B5" s="21"/>
      <c r="C5" s="21"/>
      <c r="D5" s="21"/>
      <c r="E5" s="22"/>
      <c r="F5" s="22"/>
      <c r="G5" s="22"/>
      <c r="H5" s="22"/>
      <c r="I5" s="22"/>
      <c r="J5" s="22"/>
      <c r="K5" s="22"/>
      <c r="L5" s="22"/>
      <c r="M5" s="22"/>
      <c r="N5" s="22"/>
      <c r="O5" s="22"/>
      <c r="P5" s="22"/>
      <c r="Q5" s="21"/>
      <c r="R5" s="21"/>
      <c r="S5" s="22"/>
      <c r="T5" s="39"/>
      <c r="U5" s="28"/>
      <c r="V5" s="28"/>
    </row>
    <row r="6" spans="1:22" ht="21" customHeight="1" x14ac:dyDescent="0.25">
      <c r="A6" s="38"/>
      <c r="B6" s="21"/>
      <c r="C6" s="21"/>
      <c r="D6" s="21"/>
      <c r="E6" s="22"/>
      <c r="F6" s="22"/>
      <c r="G6" s="21"/>
      <c r="H6" s="21"/>
      <c r="I6" s="21"/>
      <c r="J6" s="21"/>
      <c r="K6" s="21"/>
      <c r="L6" s="21"/>
      <c r="M6" s="21"/>
      <c r="N6" s="21"/>
      <c r="O6" s="22"/>
      <c r="P6" s="22"/>
      <c r="Q6" s="21"/>
      <c r="R6" s="21"/>
      <c r="S6" s="22"/>
      <c r="T6" s="39"/>
      <c r="U6" s="28"/>
      <c r="V6" s="28"/>
    </row>
    <row r="7" spans="1:22" ht="14.25" customHeight="1" x14ac:dyDescent="0.25">
      <c r="A7" s="38"/>
      <c r="B7" s="21"/>
      <c r="C7" s="21"/>
      <c r="D7" s="22"/>
      <c r="E7" s="22"/>
      <c r="F7" s="22"/>
      <c r="G7" s="21"/>
      <c r="H7" s="21"/>
      <c r="I7" s="21"/>
      <c r="J7" s="21"/>
      <c r="K7" s="21"/>
      <c r="L7" s="21"/>
      <c r="M7" s="21"/>
      <c r="N7" s="21"/>
      <c r="O7" s="22"/>
      <c r="P7" s="22"/>
      <c r="Q7" s="21"/>
      <c r="R7" s="21"/>
      <c r="S7" s="22"/>
      <c r="T7" s="39"/>
      <c r="U7" s="28"/>
      <c r="V7" s="28"/>
    </row>
    <row r="8" spans="1:22" ht="14.25" customHeight="1" x14ac:dyDescent="0.25">
      <c r="A8" s="38"/>
      <c r="B8" s="21"/>
      <c r="C8" s="21"/>
      <c r="D8" s="26"/>
      <c r="E8" s="22"/>
      <c r="F8" s="22"/>
      <c r="G8" s="22"/>
      <c r="H8" s="22"/>
      <c r="I8" s="22"/>
      <c r="J8" s="22"/>
      <c r="K8" s="22"/>
      <c r="L8" s="22"/>
      <c r="M8" s="22"/>
      <c r="N8" s="22"/>
      <c r="O8" s="22"/>
      <c r="P8" s="22"/>
      <c r="Q8" s="21"/>
      <c r="R8" s="21"/>
      <c r="S8" s="22"/>
      <c r="T8" s="39"/>
      <c r="U8" s="28"/>
      <c r="V8" s="28"/>
    </row>
    <row r="9" spans="1:22" ht="14.25" customHeight="1" x14ac:dyDescent="0.25">
      <c r="A9" s="38"/>
      <c r="B9" s="21"/>
      <c r="C9" s="21"/>
      <c r="D9" s="22"/>
      <c r="E9" s="22"/>
      <c r="F9" s="22"/>
      <c r="G9" s="22"/>
      <c r="H9" s="22"/>
      <c r="I9" s="22"/>
      <c r="J9" s="22"/>
      <c r="K9" s="22"/>
      <c r="L9" s="22"/>
      <c r="M9" s="22"/>
      <c r="N9" s="22"/>
      <c r="O9" s="22"/>
      <c r="P9" s="22"/>
      <c r="Q9" s="21"/>
      <c r="R9" s="21"/>
      <c r="S9" s="22"/>
      <c r="T9" s="39"/>
      <c r="U9" s="28"/>
      <c r="V9" s="28"/>
    </row>
    <row r="10" spans="1:22" ht="14.25" customHeight="1" x14ac:dyDescent="0.25">
      <c r="A10" s="38"/>
      <c r="B10" s="21"/>
      <c r="C10" s="21"/>
      <c r="D10" s="22"/>
      <c r="E10" s="22"/>
      <c r="F10" s="22"/>
      <c r="G10" s="22"/>
      <c r="H10" s="22"/>
      <c r="I10" s="22"/>
      <c r="J10" s="22"/>
      <c r="K10" s="22"/>
      <c r="L10" s="22"/>
      <c r="M10" s="22"/>
      <c r="N10" s="22"/>
      <c r="O10" s="22"/>
      <c r="P10" s="22"/>
      <c r="Q10" s="21"/>
      <c r="R10" s="21"/>
      <c r="S10" s="22"/>
      <c r="T10" s="39"/>
      <c r="U10" s="28"/>
      <c r="V10" s="28"/>
    </row>
    <row r="11" spans="1:22" ht="14.25" customHeight="1" x14ac:dyDescent="0.25">
      <c r="A11" s="38"/>
      <c r="B11" s="21"/>
      <c r="C11" s="21"/>
      <c r="D11" s="22"/>
      <c r="E11" s="22"/>
      <c r="F11" s="22"/>
      <c r="G11" s="22"/>
      <c r="H11" s="22"/>
      <c r="I11" s="22"/>
      <c r="J11" s="22"/>
      <c r="K11" s="22"/>
      <c r="L11" s="22"/>
      <c r="M11" s="22"/>
      <c r="N11" s="22"/>
      <c r="O11" s="22"/>
      <c r="P11" s="22"/>
      <c r="Q11" s="21"/>
      <c r="R11" s="21"/>
      <c r="S11" s="22"/>
      <c r="T11" s="39"/>
      <c r="U11" s="28"/>
      <c r="V11" s="28"/>
    </row>
    <row r="12" spans="1:22" ht="14.25" customHeight="1" x14ac:dyDescent="0.25">
      <c r="A12" s="38"/>
      <c r="B12" s="21"/>
      <c r="C12" s="21"/>
      <c r="D12" s="22"/>
      <c r="E12" s="22"/>
      <c r="F12" s="22"/>
      <c r="G12" s="22"/>
      <c r="H12" s="22"/>
      <c r="I12" s="22"/>
      <c r="J12" s="22"/>
      <c r="K12" s="22"/>
      <c r="L12" s="22"/>
      <c r="M12" s="22"/>
      <c r="N12" s="22"/>
      <c r="O12" s="22"/>
      <c r="P12" s="22"/>
      <c r="Q12" s="21"/>
      <c r="R12" s="21"/>
      <c r="S12" s="22"/>
      <c r="T12" s="39"/>
      <c r="U12" s="28"/>
      <c r="V12" s="28"/>
    </row>
    <row r="13" spans="1:22" ht="14.25" customHeight="1" x14ac:dyDescent="0.25">
      <c r="A13" s="38"/>
      <c r="B13" s="21"/>
      <c r="C13" s="21"/>
      <c r="D13" s="22"/>
      <c r="E13" s="22"/>
      <c r="F13" s="22"/>
      <c r="G13" s="22"/>
      <c r="H13" s="22"/>
      <c r="I13" s="22"/>
      <c r="J13" s="22"/>
      <c r="K13" s="22"/>
      <c r="L13" s="22"/>
      <c r="M13" s="22"/>
      <c r="N13" s="22"/>
      <c r="O13" s="22"/>
      <c r="P13" s="22"/>
      <c r="Q13" s="21"/>
      <c r="R13" s="21"/>
      <c r="S13" s="22"/>
      <c r="T13" s="39"/>
      <c r="U13" s="28"/>
      <c r="V13" s="28"/>
    </row>
    <row r="14" spans="1:22" ht="14.25" customHeight="1" x14ac:dyDescent="0.25">
      <c r="A14" s="38"/>
      <c r="B14" s="21"/>
      <c r="C14" s="21"/>
      <c r="D14" s="22"/>
      <c r="E14" s="22"/>
      <c r="F14" s="22"/>
      <c r="G14" s="22"/>
      <c r="H14" s="22"/>
      <c r="I14" s="22"/>
      <c r="J14" s="22"/>
      <c r="K14" s="22"/>
      <c r="L14" s="22"/>
      <c r="M14" s="22"/>
      <c r="N14" s="22"/>
      <c r="O14" s="22"/>
      <c r="P14" s="22"/>
      <c r="Q14" s="21"/>
      <c r="R14" s="21"/>
      <c r="S14" s="22"/>
      <c r="T14" s="39"/>
      <c r="U14" s="28"/>
      <c r="V14" s="28"/>
    </row>
    <row r="15" spans="1:22" ht="14.25" customHeight="1" x14ac:dyDescent="0.25">
      <c r="A15" s="38"/>
      <c r="B15" s="21"/>
      <c r="C15" s="21"/>
      <c r="D15" s="22"/>
      <c r="E15" s="22"/>
      <c r="F15" s="22"/>
      <c r="G15" s="22"/>
      <c r="H15" s="22"/>
      <c r="I15" s="22"/>
      <c r="J15" s="22"/>
      <c r="K15" s="22"/>
      <c r="L15" s="22"/>
      <c r="M15" s="22"/>
      <c r="N15" s="22"/>
      <c r="O15" s="22"/>
      <c r="P15" s="22"/>
      <c r="Q15" s="21"/>
      <c r="R15" s="21"/>
      <c r="S15" s="22"/>
      <c r="T15" s="39"/>
      <c r="U15" s="28"/>
      <c r="V15" s="28"/>
    </row>
    <row r="16" spans="1:22" ht="14.25" customHeight="1" x14ac:dyDescent="0.25">
      <c r="A16" s="38"/>
      <c r="B16" s="21"/>
      <c r="C16" s="21"/>
      <c r="D16" s="22"/>
      <c r="E16" s="22"/>
      <c r="F16" s="22"/>
      <c r="G16" s="22"/>
      <c r="H16" s="22"/>
      <c r="I16" s="22"/>
      <c r="J16" s="22"/>
      <c r="K16" s="22"/>
      <c r="L16" s="22"/>
      <c r="M16" s="22"/>
      <c r="N16" s="22"/>
      <c r="O16" s="22"/>
      <c r="P16" s="22"/>
      <c r="Q16" s="21"/>
      <c r="R16" s="21"/>
      <c r="S16" s="22"/>
      <c r="T16" s="39"/>
      <c r="U16" s="28"/>
      <c r="V16" s="28"/>
    </row>
    <row r="17" spans="1:22" ht="14.25" customHeight="1" x14ac:dyDescent="0.25">
      <c r="A17" s="38"/>
      <c r="B17" s="21"/>
      <c r="C17" s="21"/>
      <c r="D17" s="22"/>
      <c r="E17" s="22"/>
      <c r="F17" s="22"/>
      <c r="G17" s="22"/>
      <c r="H17" s="22"/>
      <c r="I17" s="22"/>
      <c r="J17" s="22"/>
      <c r="K17" s="22"/>
      <c r="L17" s="22"/>
      <c r="M17" s="22"/>
      <c r="N17" s="22"/>
      <c r="O17" s="22"/>
      <c r="P17" s="22"/>
      <c r="Q17" s="21"/>
      <c r="R17" s="21"/>
      <c r="S17" s="22"/>
      <c r="T17" s="39"/>
      <c r="U17" s="28"/>
      <c r="V17" s="28"/>
    </row>
    <row r="18" spans="1:22" ht="14.25" customHeight="1" x14ac:dyDescent="0.25">
      <c r="A18" s="38"/>
      <c r="B18" s="21"/>
      <c r="C18" s="21"/>
      <c r="D18" s="22"/>
      <c r="E18" s="22"/>
      <c r="F18" s="22"/>
      <c r="G18" s="22"/>
      <c r="H18" s="22"/>
      <c r="I18" s="22"/>
      <c r="J18" s="22"/>
      <c r="K18" s="22"/>
      <c r="L18" s="22"/>
      <c r="M18" s="22"/>
      <c r="N18" s="22"/>
      <c r="O18" s="22"/>
      <c r="P18" s="22"/>
      <c r="Q18" s="21"/>
      <c r="R18" s="21"/>
      <c r="S18" s="22"/>
      <c r="T18" s="39"/>
      <c r="U18" s="28"/>
      <c r="V18" s="28"/>
    </row>
    <row r="19" spans="1:22" x14ac:dyDescent="0.25">
      <c r="A19" s="38"/>
      <c r="B19" s="21"/>
      <c r="C19" s="21"/>
      <c r="D19" s="22"/>
      <c r="E19" s="22"/>
      <c r="F19" s="22"/>
      <c r="G19" s="22"/>
      <c r="H19" s="22"/>
      <c r="I19" s="22"/>
      <c r="J19" s="22"/>
      <c r="K19" s="22"/>
      <c r="L19" s="22"/>
      <c r="M19" s="22"/>
      <c r="N19" s="22"/>
      <c r="O19" s="22"/>
      <c r="P19" s="22"/>
      <c r="Q19" s="21"/>
      <c r="R19" s="21"/>
      <c r="S19" s="22"/>
      <c r="T19" s="39"/>
      <c r="U19" s="28"/>
      <c r="V19" s="28"/>
    </row>
    <row r="20" spans="1:22" x14ac:dyDescent="0.25">
      <c r="A20" s="38"/>
      <c r="B20" s="21"/>
      <c r="C20" s="21"/>
      <c r="D20" s="22"/>
      <c r="E20" s="22"/>
      <c r="F20" s="22"/>
      <c r="G20" s="22"/>
      <c r="H20" s="22"/>
      <c r="I20" s="21"/>
      <c r="J20" s="21"/>
      <c r="K20" s="21"/>
      <c r="L20" s="21"/>
      <c r="M20" s="21"/>
      <c r="N20" s="21"/>
      <c r="O20" s="21"/>
      <c r="P20" s="21"/>
      <c r="Q20" s="21"/>
      <c r="R20" s="21"/>
      <c r="S20" s="21"/>
      <c r="T20" s="39"/>
      <c r="U20" s="28"/>
      <c r="V20" s="28"/>
    </row>
    <row r="21" spans="1:22" x14ac:dyDescent="0.25">
      <c r="A21" s="38"/>
      <c r="B21" s="21"/>
      <c r="C21" s="21"/>
      <c r="D21" s="22"/>
      <c r="E21" s="22"/>
      <c r="F21" s="22"/>
      <c r="G21" s="22"/>
      <c r="H21" s="22"/>
      <c r="I21" s="21"/>
      <c r="J21" s="21"/>
      <c r="K21" s="21"/>
      <c r="L21" s="21"/>
      <c r="M21" s="21"/>
      <c r="N21" s="21"/>
      <c r="O21" s="21"/>
      <c r="P21" s="21"/>
      <c r="Q21" s="21"/>
      <c r="R21" s="21"/>
      <c r="S21" s="21"/>
      <c r="T21" s="39"/>
      <c r="U21" s="28"/>
      <c r="V21" s="28"/>
    </row>
    <row r="22" spans="1:22" x14ac:dyDescent="0.25">
      <c r="A22" s="38"/>
      <c r="B22" s="21"/>
      <c r="C22" s="21"/>
      <c r="D22" s="22"/>
      <c r="E22" s="22"/>
      <c r="F22" s="22"/>
      <c r="G22" s="22"/>
      <c r="H22" s="22"/>
      <c r="I22" s="21"/>
      <c r="J22" s="21"/>
      <c r="K22" s="21"/>
      <c r="L22" s="21"/>
      <c r="M22" s="21"/>
      <c r="N22" s="21"/>
      <c r="O22" s="21"/>
      <c r="P22" s="21"/>
      <c r="Q22" s="21"/>
      <c r="R22" s="21"/>
      <c r="S22" s="21"/>
      <c r="T22" s="39"/>
      <c r="U22" s="28"/>
      <c r="V22" s="28"/>
    </row>
    <row r="23" spans="1:22" x14ac:dyDescent="0.25">
      <c r="A23" s="38"/>
      <c r="B23" s="21"/>
      <c r="C23" s="21"/>
      <c r="D23" s="22"/>
      <c r="E23" s="22"/>
      <c r="F23" s="22"/>
      <c r="G23" s="22"/>
      <c r="H23" s="22"/>
      <c r="I23" s="21"/>
      <c r="J23" s="21"/>
      <c r="K23" s="21"/>
      <c r="L23" s="21"/>
      <c r="M23" s="21"/>
      <c r="N23" s="21"/>
      <c r="O23" s="21"/>
      <c r="P23" s="21"/>
      <c r="Q23" s="21"/>
      <c r="R23" s="21"/>
      <c r="S23" s="21"/>
      <c r="T23" s="39"/>
    </row>
    <row r="24" spans="1:22" x14ac:dyDescent="0.25">
      <c r="A24" s="38"/>
      <c r="B24" s="21"/>
      <c r="C24" s="21"/>
      <c r="D24" s="22"/>
      <c r="E24" s="22"/>
      <c r="F24" s="22"/>
      <c r="G24" s="22"/>
      <c r="H24" s="22"/>
      <c r="I24" s="21"/>
      <c r="J24" s="21"/>
      <c r="K24" s="21"/>
      <c r="L24" s="21"/>
      <c r="M24" s="21"/>
      <c r="N24" s="21"/>
      <c r="O24" s="21"/>
      <c r="P24" s="21"/>
      <c r="Q24" s="21"/>
      <c r="R24" s="21"/>
      <c r="S24" s="21"/>
      <c r="T24" s="39"/>
    </row>
    <row r="25" spans="1:22" x14ac:dyDescent="0.25">
      <c r="A25" s="38"/>
      <c r="B25" s="21"/>
      <c r="C25" s="21"/>
      <c r="D25" s="21"/>
      <c r="E25" s="21"/>
      <c r="F25" s="21"/>
      <c r="G25" s="21"/>
      <c r="H25" s="21"/>
      <c r="I25" s="21"/>
      <c r="J25" s="21"/>
      <c r="K25" s="21"/>
      <c r="L25" s="21"/>
      <c r="M25" s="21"/>
      <c r="N25" s="21"/>
      <c r="O25" s="21"/>
      <c r="P25" s="21"/>
      <c r="Q25" s="21"/>
      <c r="R25" s="21"/>
      <c r="S25" s="21"/>
      <c r="T25" s="39"/>
    </row>
    <row r="26" spans="1:22" x14ac:dyDescent="0.25">
      <c r="A26" s="38"/>
      <c r="B26" s="21"/>
      <c r="C26" s="21"/>
      <c r="D26" s="21"/>
      <c r="E26" s="21"/>
      <c r="F26" s="21"/>
      <c r="G26" s="21"/>
      <c r="H26" s="21"/>
      <c r="I26" s="21"/>
      <c r="J26" s="21"/>
      <c r="K26" s="21"/>
      <c r="L26" s="21"/>
      <c r="M26" s="21"/>
      <c r="N26" s="21"/>
      <c r="O26" s="21"/>
      <c r="P26" s="21"/>
      <c r="Q26" s="21"/>
      <c r="R26" s="21"/>
      <c r="S26" s="21"/>
      <c r="T26" s="39"/>
    </row>
    <row r="27" spans="1:22" x14ac:dyDescent="0.25">
      <c r="A27" s="38"/>
      <c r="B27" s="21"/>
      <c r="C27" s="21"/>
      <c r="D27" s="21"/>
      <c r="E27" s="21"/>
      <c r="F27" s="21"/>
      <c r="G27" s="21"/>
      <c r="H27" s="21"/>
      <c r="I27" s="21"/>
      <c r="J27" s="21"/>
      <c r="K27" s="21"/>
      <c r="L27" s="21"/>
      <c r="M27" s="21"/>
      <c r="N27" s="21"/>
      <c r="O27" s="21"/>
      <c r="P27" s="21"/>
      <c r="Q27" s="21"/>
      <c r="R27" s="21"/>
      <c r="S27" s="21"/>
      <c r="T27" s="39"/>
    </row>
    <row r="28" spans="1:22" x14ac:dyDescent="0.25">
      <c r="A28" s="38"/>
      <c r="B28" s="21"/>
      <c r="C28" s="21"/>
      <c r="D28" s="21"/>
      <c r="E28" s="21"/>
      <c r="F28" s="21"/>
      <c r="G28" s="21"/>
      <c r="H28" s="21"/>
      <c r="I28" s="21"/>
      <c r="J28" s="21"/>
      <c r="K28" s="21"/>
      <c r="L28" s="21"/>
      <c r="M28" s="21"/>
      <c r="N28" s="21"/>
      <c r="O28" s="21"/>
      <c r="P28" s="21"/>
      <c r="Q28" s="21"/>
      <c r="R28" s="21"/>
      <c r="S28" s="21"/>
      <c r="T28" s="39"/>
    </row>
    <row r="29" spans="1:22" x14ac:dyDescent="0.25">
      <c r="A29" s="38"/>
      <c r="B29" s="21"/>
      <c r="C29" s="21"/>
      <c r="D29" s="21"/>
      <c r="E29" s="21"/>
      <c r="F29" s="21"/>
      <c r="G29" s="21"/>
      <c r="H29" s="21"/>
      <c r="I29" s="21"/>
      <c r="J29" s="21"/>
      <c r="K29" s="21"/>
      <c r="L29" s="21"/>
      <c r="M29" s="21"/>
      <c r="N29" s="21"/>
      <c r="O29" s="21"/>
      <c r="P29" s="21"/>
      <c r="Q29" s="21"/>
      <c r="R29" s="21"/>
      <c r="S29" s="21"/>
      <c r="T29" s="39"/>
    </row>
    <row r="30" spans="1:22" x14ac:dyDescent="0.25">
      <c r="A30" s="38"/>
      <c r="B30" s="21"/>
      <c r="C30" s="21"/>
      <c r="D30" s="21"/>
      <c r="E30" s="21"/>
      <c r="F30" s="21"/>
      <c r="G30" s="21"/>
      <c r="H30" s="21"/>
      <c r="I30" s="21"/>
      <c r="J30" s="21"/>
      <c r="K30" s="21"/>
      <c r="L30" s="21"/>
      <c r="M30" s="21"/>
      <c r="N30" s="21"/>
      <c r="O30" s="21"/>
      <c r="P30" s="21"/>
      <c r="Q30" s="21"/>
      <c r="R30" s="21"/>
      <c r="S30" s="21"/>
      <c r="T30" s="39"/>
    </row>
    <row r="31" spans="1:22" x14ac:dyDescent="0.25">
      <c r="A31" s="38"/>
      <c r="B31" s="21"/>
      <c r="C31" s="21"/>
      <c r="D31" s="21"/>
      <c r="E31" s="21"/>
      <c r="F31" s="21"/>
      <c r="G31" s="21"/>
      <c r="H31" s="21"/>
      <c r="I31" s="21"/>
      <c r="J31" s="21"/>
      <c r="K31" s="21"/>
      <c r="L31" s="21"/>
      <c r="M31" s="21"/>
      <c r="N31" s="21"/>
      <c r="O31" s="21"/>
      <c r="P31" s="21"/>
      <c r="Q31" s="21"/>
      <c r="R31" s="21"/>
      <c r="S31" s="21"/>
      <c r="T31" s="39"/>
    </row>
    <row r="32" spans="1:22" x14ac:dyDescent="0.25">
      <c r="A32" s="38"/>
      <c r="B32" s="21"/>
      <c r="C32" s="21"/>
      <c r="D32" s="21"/>
      <c r="E32" s="21"/>
      <c r="F32" s="21"/>
      <c r="G32" s="21"/>
      <c r="H32" s="21"/>
      <c r="I32" s="21"/>
      <c r="J32" s="21"/>
      <c r="K32" s="21"/>
      <c r="L32" s="21"/>
      <c r="M32" s="21"/>
      <c r="N32" s="21"/>
      <c r="O32" s="21"/>
      <c r="P32" s="21"/>
      <c r="Q32" s="21"/>
      <c r="R32" s="21"/>
      <c r="S32" s="21"/>
      <c r="T32" s="39"/>
    </row>
    <row r="33" spans="1:21" x14ac:dyDescent="0.25">
      <c r="A33" s="38"/>
      <c r="B33" s="21"/>
      <c r="C33" s="21"/>
      <c r="D33" s="21"/>
      <c r="E33" s="21"/>
      <c r="F33" s="21"/>
      <c r="G33" s="21"/>
      <c r="H33" s="21"/>
      <c r="I33" s="21"/>
      <c r="J33" s="21"/>
      <c r="K33" s="21"/>
      <c r="L33" s="21"/>
      <c r="M33" s="21"/>
      <c r="N33" s="21"/>
      <c r="O33" s="21"/>
      <c r="P33" s="21"/>
      <c r="Q33" s="21"/>
      <c r="R33" s="21"/>
      <c r="S33" s="21"/>
      <c r="T33" s="39"/>
    </row>
    <row r="34" spans="1:21" x14ac:dyDescent="0.25">
      <c r="A34" s="38"/>
      <c r="B34" s="21"/>
      <c r="C34" s="21"/>
      <c r="D34" s="21"/>
      <c r="E34" s="21"/>
      <c r="F34" s="21"/>
      <c r="G34" s="21"/>
      <c r="H34" s="21"/>
      <c r="I34" s="21"/>
      <c r="J34" s="21"/>
      <c r="K34" s="21"/>
      <c r="L34" s="21"/>
      <c r="M34" s="21"/>
      <c r="N34" s="21"/>
      <c r="O34" s="21"/>
      <c r="P34" s="21"/>
      <c r="Q34" s="21"/>
      <c r="R34" s="21"/>
      <c r="S34" s="21"/>
      <c r="T34" s="39"/>
    </row>
    <row r="35" spans="1:21" x14ac:dyDescent="0.25">
      <c r="A35" s="38"/>
      <c r="B35" s="21"/>
      <c r="C35" s="21"/>
      <c r="D35" s="21"/>
      <c r="E35" s="21"/>
      <c r="F35" s="21"/>
      <c r="G35" s="21"/>
      <c r="H35" s="21"/>
      <c r="I35" s="21"/>
      <c r="J35" s="21"/>
      <c r="K35" s="21"/>
      <c r="L35" s="21"/>
      <c r="M35" s="21"/>
      <c r="N35" s="21"/>
      <c r="O35" s="21"/>
      <c r="P35" s="21"/>
      <c r="Q35" s="21"/>
      <c r="R35" s="21"/>
      <c r="S35" s="21"/>
      <c r="T35" s="39"/>
    </row>
    <row r="36" spans="1:21" x14ac:dyDescent="0.25">
      <c r="A36" s="38"/>
      <c r="B36" s="21"/>
      <c r="C36" s="21"/>
      <c r="D36" s="21"/>
      <c r="E36" s="21"/>
      <c r="F36" s="21"/>
      <c r="G36" s="21"/>
      <c r="H36" s="21"/>
      <c r="I36" s="21"/>
      <c r="J36" s="21"/>
      <c r="K36" s="21"/>
      <c r="L36" s="21"/>
      <c r="M36" s="21"/>
      <c r="N36" s="21"/>
      <c r="O36" s="21"/>
      <c r="P36" s="21"/>
      <c r="Q36" s="21"/>
      <c r="R36" s="21"/>
      <c r="S36" s="21"/>
      <c r="T36" s="39"/>
    </row>
    <row r="37" spans="1:21" x14ac:dyDescent="0.25">
      <c r="A37" s="38"/>
      <c r="B37" s="21"/>
      <c r="C37" s="21"/>
      <c r="D37" s="21"/>
      <c r="E37" s="21"/>
      <c r="F37" s="21"/>
      <c r="G37" s="21"/>
      <c r="H37" s="21"/>
      <c r="I37" s="21"/>
      <c r="J37" s="21"/>
      <c r="K37" s="21"/>
      <c r="L37" s="21"/>
      <c r="M37" s="21"/>
      <c r="N37" s="21"/>
      <c r="O37" s="21"/>
      <c r="P37" s="21"/>
      <c r="Q37" s="21"/>
      <c r="R37" s="21"/>
      <c r="S37" s="21"/>
      <c r="T37" s="39"/>
    </row>
    <row r="38" spans="1:21" x14ac:dyDescent="0.25">
      <c r="A38" s="38"/>
      <c r="B38" s="21"/>
      <c r="C38" s="21"/>
      <c r="D38" s="21"/>
      <c r="E38" s="21"/>
      <c r="F38" s="21"/>
      <c r="G38" s="21"/>
      <c r="H38" s="21"/>
      <c r="I38" s="21"/>
      <c r="J38" s="21"/>
      <c r="K38" s="21"/>
      <c r="L38" s="21"/>
      <c r="M38" s="21"/>
      <c r="N38" s="21"/>
      <c r="O38" s="21"/>
      <c r="P38" s="21"/>
      <c r="Q38" s="21"/>
      <c r="R38" s="21"/>
      <c r="S38" s="21"/>
      <c r="T38" s="39"/>
    </row>
    <row r="39" spans="1:21" x14ac:dyDescent="0.25">
      <c r="A39" s="38"/>
      <c r="B39" s="21"/>
      <c r="C39" s="21"/>
      <c r="D39" s="21"/>
      <c r="E39" s="21"/>
      <c r="F39" s="21"/>
      <c r="G39" s="21"/>
      <c r="H39" s="21"/>
      <c r="I39" s="21"/>
      <c r="J39" s="21"/>
      <c r="K39" s="21"/>
      <c r="L39" s="21"/>
      <c r="M39" s="21"/>
      <c r="N39" s="21"/>
      <c r="O39" s="21"/>
      <c r="P39" s="21"/>
      <c r="Q39" s="21"/>
      <c r="R39" s="21"/>
      <c r="S39" s="21"/>
      <c r="T39" s="39"/>
    </row>
    <row r="40" spans="1:21" x14ac:dyDescent="0.25">
      <c r="A40" s="38"/>
      <c r="B40" s="21"/>
      <c r="C40" s="21"/>
      <c r="D40" s="21"/>
      <c r="E40" s="21"/>
      <c r="F40" s="21"/>
      <c r="G40" s="21"/>
      <c r="H40" s="21"/>
      <c r="I40" s="21"/>
      <c r="J40" s="21"/>
      <c r="K40" s="21"/>
      <c r="L40" s="21"/>
      <c r="M40" s="21"/>
      <c r="N40" s="21"/>
      <c r="O40" s="21"/>
      <c r="P40" s="21"/>
      <c r="Q40" s="21"/>
      <c r="R40" s="21"/>
      <c r="S40" s="21"/>
      <c r="T40" s="39"/>
    </row>
    <row r="41" spans="1:21" x14ac:dyDescent="0.25">
      <c r="A41" s="38"/>
      <c r="B41" s="21"/>
      <c r="C41" s="21"/>
      <c r="D41" s="21"/>
      <c r="E41" s="21"/>
      <c r="F41" s="21"/>
      <c r="G41" s="21"/>
      <c r="H41" s="21"/>
      <c r="I41" s="21"/>
      <c r="J41" s="21"/>
      <c r="K41" s="21"/>
      <c r="L41" s="21"/>
      <c r="M41" s="21"/>
      <c r="N41" s="21"/>
      <c r="O41" s="21"/>
      <c r="P41" s="21"/>
      <c r="Q41" s="21"/>
      <c r="R41" s="21"/>
      <c r="S41" s="21"/>
      <c r="T41" s="39"/>
    </row>
    <row r="42" spans="1:21" x14ac:dyDescent="0.25">
      <c r="A42" s="38"/>
      <c r="B42" s="21"/>
      <c r="C42" s="21"/>
      <c r="D42" s="21"/>
      <c r="E42" s="21"/>
      <c r="F42" s="21"/>
      <c r="G42" s="21"/>
      <c r="H42" s="21"/>
      <c r="I42" s="21"/>
      <c r="J42" s="21"/>
      <c r="K42" s="21"/>
      <c r="L42" s="21"/>
      <c r="M42" s="21"/>
      <c r="N42" s="21"/>
      <c r="O42" s="21"/>
      <c r="P42" s="21"/>
      <c r="Q42" s="21"/>
      <c r="R42" s="21"/>
      <c r="S42" s="21"/>
      <c r="T42" s="39"/>
    </row>
    <row r="43" spans="1:21" x14ac:dyDescent="0.25">
      <c r="A43" s="38"/>
      <c r="B43" s="21"/>
      <c r="C43" s="21"/>
      <c r="D43" s="21"/>
      <c r="E43" s="21"/>
      <c r="F43" s="21"/>
      <c r="G43" s="21"/>
      <c r="H43" s="21"/>
      <c r="I43" s="21"/>
      <c r="J43" s="21"/>
      <c r="K43" s="21"/>
      <c r="L43" s="21"/>
      <c r="M43" s="21"/>
      <c r="N43" s="21"/>
      <c r="O43" s="21"/>
      <c r="P43" s="21"/>
      <c r="Q43" s="21"/>
      <c r="R43" s="21"/>
      <c r="S43" s="21"/>
      <c r="T43" s="39"/>
    </row>
    <row r="44" spans="1:21" ht="79.5" customHeight="1" x14ac:dyDescent="0.25">
      <c r="A44" s="38"/>
      <c r="B44" s="21"/>
      <c r="C44" s="21"/>
      <c r="D44" s="21"/>
      <c r="E44" s="21"/>
      <c r="F44" s="21"/>
      <c r="G44" s="21"/>
      <c r="H44" s="21"/>
      <c r="I44" s="21"/>
      <c r="J44" s="21"/>
      <c r="K44" s="21"/>
      <c r="L44" s="21"/>
      <c r="M44" s="21"/>
      <c r="N44" s="21"/>
      <c r="O44" s="21"/>
      <c r="P44" s="21"/>
      <c r="Q44" s="21"/>
      <c r="R44" s="21"/>
      <c r="S44" s="21"/>
      <c r="T44" s="39"/>
      <c r="U44" s="28"/>
    </row>
    <row r="45" spans="1:21" x14ac:dyDescent="0.25">
      <c r="A45" s="41"/>
      <c r="B45" s="42"/>
      <c r="C45" s="42"/>
      <c r="D45" s="42"/>
      <c r="E45" s="42"/>
      <c r="F45" s="42"/>
      <c r="G45" s="42"/>
      <c r="H45" s="42"/>
      <c r="I45" s="42"/>
      <c r="J45" s="42"/>
      <c r="K45" s="42"/>
      <c r="L45" s="42"/>
      <c r="M45" s="42"/>
      <c r="N45" s="42"/>
      <c r="O45" s="42"/>
      <c r="P45" s="42"/>
      <c r="Q45" s="42"/>
      <c r="R45" s="42"/>
      <c r="S45" s="42"/>
      <c r="T45" s="43"/>
      <c r="U45" s="28"/>
    </row>
    <row r="46" spans="1:21" ht="3" customHeight="1" x14ac:dyDescent="0.25">
      <c r="A46" s="20"/>
      <c r="B46" s="20"/>
      <c r="C46" s="20"/>
      <c r="D46" s="20"/>
      <c r="E46" s="20"/>
      <c r="F46" s="20"/>
      <c r="G46" s="20"/>
      <c r="H46" s="20"/>
      <c r="I46" s="20"/>
      <c r="J46" s="20"/>
      <c r="K46" s="20"/>
      <c r="L46" s="20"/>
      <c r="M46" s="20"/>
      <c r="N46" s="20"/>
      <c r="O46" s="20"/>
      <c r="P46" s="20"/>
      <c r="Q46" s="20"/>
      <c r="S46" s="20"/>
      <c r="T46" s="28"/>
      <c r="U46" s="28"/>
    </row>
    <row r="47" spans="1:21" x14ac:dyDescent="0.25">
      <c r="A47" s="20"/>
      <c r="B47" s="20"/>
      <c r="C47" s="20"/>
      <c r="D47" s="20"/>
      <c r="E47" s="20"/>
      <c r="F47" s="20"/>
      <c r="G47" s="20"/>
      <c r="H47" s="20"/>
      <c r="I47" s="20"/>
      <c r="J47" s="20"/>
      <c r="K47" s="20"/>
      <c r="L47" s="20"/>
      <c r="M47" s="20"/>
      <c r="N47" s="20"/>
      <c r="O47" s="20"/>
      <c r="P47" s="20"/>
      <c r="Q47" s="20"/>
      <c r="S47" s="20"/>
      <c r="T47" s="28"/>
      <c r="U47" s="28"/>
    </row>
    <row r="48" spans="1:21" x14ac:dyDescent="0.25">
      <c r="A48" s="20"/>
      <c r="B48" s="20"/>
      <c r="C48" s="20"/>
      <c r="D48" s="20"/>
      <c r="E48" s="20"/>
      <c r="F48" s="20"/>
      <c r="G48" s="20"/>
      <c r="H48" s="20"/>
      <c r="I48" s="20"/>
      <c r="J48" s="20"/>
      <c r="K48" s="20"/>
      <c r="L48" s="20"/>
      <c r="M48" s="20"/>
      <c r="N48" s="20"/>
      <c r="O48" s="20"/>
      <c r="P48" s="20"/>
      <c r="Q48" s="20"/>
      <c r="S48" s="20"/>
      <c r="T48" s="28"/>
      <c r="U48" s="28"/>
    </row>
    <row r="49" spans="1:21" x14ac:dyDescent="0.25">
      <c r="A49" s="20"/>
      <c r="B49" s="20"/>
      <c r="C49" s="20"/>
      <c r="D49" s="20"/>
      <c r="E49" s="20"/>
      <c r="F49" s="20"/>
      <c r="G49" s="20"/>
      <c r="H49" s="20"/>
      <c r="I49" s="20"/>
      <c r="J49" s="20"/>
      <c r="K49" s="20"/>
      <c r="L49" s="20"/>
      <c r="M49" s="20"/>
      <c r="N49" s="20"/>
      <c r="O49" s="20"/>
      <c r="P49" s="20"/>
      <c r="Q49" s="20"/>
      <c r="S49" s="20"/>
      <c r="T49" s="28"/>
      <c r="U49" s="28"/>
    </row>
    <row r="50" spans="1:21" x14ac:dyDescent="0.25">
      <c r="A50" s="20"/>
      <c r="B50" s="20"/>
      <c r="C50" s="20"/>
      <c r="D50" s="20"/>
      <c r="E50" s="20"/>
      <c r="F50" s="20"/>
      <c r="G50" s="20"/>
      <c r="H50" s="20"/>
      <c r="I50" s="20"/>
      <c r="J50" s="20"/>
      <c r="K50" s="20"/>
      <c r="L50" s="20"/>
      <c r="M50" s="20"/>
      <c r="N50" s="20"/>
      <c r="O50" s="20"/>
      <c r="P50" s="20"/>
      <c r="Q50" s="20"/>
      <c r="S50" s="20"/>
    </row>
  </sheetData>
  <mergeCells count="1">
    <mergeCell ref="A1:C1"/>
  </mergeCells>
  <printOptions horizontalCentered="1" verticalCentered="1"/>
  <pageMargins left="0.25" right="0.25" top="0.75" bottom="0.75" header="0.3" footer="0.3"/>
  <pageSetup paperSize="3" scale="86" orientation="landscape"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0"/>
  <sheetViews>
    <sheetView zoomScale="80" zoomScaleNormal="80" workbookViewId="0">
      <selection activeCell="D24" sqref="D24"/>
    </sheetView>
  </sheetViews>
  <sheetFormatPr defaultRowHeight="15" x14ac:dyDescent="0.25"/>
  <cols>
    <col min="1" max="1" width="9.85546875" bestFit="1" customWidth="1"/>
    <col min="2" max="2" width="18" customWidth="1"/>
    <col min="3" max="3" width="12.42578125" bestFit="1" customWidth="1"/>
    <col min="4" max="4" width="13" bestFit="1" customWidth="1"/>
    <col min="5" max="5" width="8" bestFit="1" customWidth="1"/>
    <col min="6" max="6" width="12" bestFit="1" customWidth="1"/>
    <col min="7" max="7" width="16.28515625" bestFit="1" customWidth="1"/>
    <col min="8" max="8" width="12.42578125" style="2" bestFit="1" customWidth="1"/>
    <col min="9" max="9" width="12.85546875" bestFit="1" customWidth="1"/>
    <col min="10" max="10" width="16" style="2" bestFit="1" customWidth="1"/>
    <col min="12" max="12" width="19.7109375" customWidth="1"/>
    <col min="13" max="13" width="15.140625" bestFit="1" customWidth="1"/>
    <col min="14" max="15" width="15.28515625" customWidth="1"/>
    <col min="16" max="16" width="19.42578125" customWidth="1"/>
  </cols>
  <sheetData>
    <row r="1" spans="1:16" x14ac:dyDescent="0.25">
      <c r="A1" t="s">
        <v>0</v>
      </c>
      <c r="B1" t="s">
        <v>1</v>
      </c>
      <c r="C1" t="s">
        <v>2</v>
      </c>
      <c r="D1" t="s">
        <v>3</v>
      </c>
      <c r="E1" t="s">
        <v>4</v>
      </c>
      <c r="F1" t="s">
        <v>5</v>
      </c>
      <c r="G1" t="s">
        <v>6</v>
      </c>
      <c r="H1" s="2" t="s">
        <v>7</v>
      </c>
      <c r="I1" t="s">
        <v>8</v>
      </c>
      <c r="J1" s="2" t="s">
        <v>9</v>
      </c>
    </row>
    <row r="2" spans="1:16" x14ac:dyDescent="0.25">
      <c r="A2" t="s">
        <v>10</v>
      </c>
      <c r="B2" s="16">
        <v>45985</v>
      </c>
      <c r="C2" t="s">
        <v>11</v>
      </c>
      <c r="D2" t="s">
        <v>12</v>
      </c>
      <c r="E2" t="s">
        <v>13</v>
      </c>
      <c r="F2" t="s">
        <v>14</v>
      </c>
      <c r="G2" t="s">
        <v>15</v>
      </c>
      <c r="H2" s="2">
        <v>112.4</v>
      </c>
      <c r="I2">
        <v>4</v>
      </c>
      <c r="J2" s="2">
        <v>449.6</v>
      </c>
      <c r="L2" s="10" t="s">
        <v>537</v>
      </c>
      <c r="M2" s="11" t="s">
        <v>538</v>
      </c>
      <c r="N2" s="10" t="s">
        <v>539</v>
      </c>
      <c r="O2" s="10" t="s">
        <v>542</v>
      </c>
      <c r="P2" s="11" t="s">
        <v>540</v>
      </c>
    </row>
    <row r="3" spans="1:16" x14ac:dyDescent="0.25">
      <c r="A3" t="s">
        <v>16</v>
      </c>
      <c r="B3" s="16">
        <v>45729</v>
      </c>
      <c r="C3" t="s">
        <v>17</v>
      </c>
      <c r="D3" t="s">
        <v>12</v>
      </c>
      <c r="E3" t="s">
        <v>18</v>
      </c>
      <c r="F3" t="s">
        <v>19</v>
      </c>
      <c r="G3" t="s">
        <v>20</v>
      </c>
      <c r="H3" s="2">
        <v>239.16</v>
      </c>
      <c r="I3">
        <v>4</v>
      </c>
      <c r="J3" s="2">
        <v>956.64</v>
      </c>
      <c r="L3" s="3" t="s">
        <v>0</v>
      </c>
      <c r="M3" s="4">
        <f>COUNTA(INDEX(Table1.Sales_Data[],0,MATCH(L3,Table1.Sales_Data[#Headers],0)))</f>
        <v>499</v>
      </c>
      <c r="N3" s="5">
        <f>COUNTBLANK(INDEX(Table1.Sales_Data[],0,MATCH(L3,Table1.Sales_Data[#Headers],0)))</f>
        <v>0</v>
      </c>
      <c r="O3" s="5" t="str">
        <f>IF(TYPE(INDEX(Table1.Sales_Data[],0,MATCH(L3,Table1.Sales_Data[#Headers],0)))=1,"NUMBER",
IF(TYPE(INDEX(Table1.Sales_Data[],0,MATCH(L3,Table1.Sales_Data[#Headers],0)))=2,"TEXT",
IF(TYPE(INDEX(Table1.Sales_Data[],0,MATCH(L3,Table1.Sales_Data[#Headers],0)))=4,"LOGICAL",
IF(TYPE(INDEX(Table1.Sales_Data[],0,MATCH(L3,Table1.Sales_Data[#Headers],0)))=16,"ERROR",
"LAINNYA"))))</f>
        <v>TEXT</v>
      </c>
      <c r="P3" s="50" t="s">
        <v>541</v>
      </c>
    </row>
    <row r="4" spans="1:16" x14ac:dyDescent="0.25">
      <c r="A4" t="s">
        <v>21</v>
      </c>
      <c r="B4" s="16">
        <v>45874</v>
      </c>
      <c r="C4" t="s">
        <v>11</v>
      </c>
      <c r="D4" t="s">
        <v>22</v>
      </c>
      <c r="E4" t="s">
        <v>23</v>
      </c>
      <c r="F4" t="s">
        <v>14</v>
      </c>
      <c r="G4" t="s">
        <v>20</v>
      </c>
      <c r="H4" s="2">
        <v>191.04</v>
      </c>
      <c r="I4">
        <v>2</v>
      </c>
      <c r="J4" s="2">
        <v>382.08</v>
      </c>
      <c r="L4" s="3" t="s">
        <v>1</v>
      </c>
      <c r="M4" s="4">
        <f>COUNTA(INDEX(Table1.Sales_Data[],0,MATCH(L4,Table1.Sales_Data[#Headers],0)))</f>
        <v>499</v>
      </c>
      <c r="N4" s="5">
        <f>COUNTBLANK(INDEX(Table1.Sales_Data[],0,MATCH(L4,Table1.Sales_Data[#Headers],0)))</f>
        <v>0</v>
      </c>
      <c r="O4" s="5" t="str">
        <f>IF(TYPE(INDEX(Table1.Sales_Data[],0,MATCH(L4,Table1.Sales_Data[#Headers],0)))=1,"DATE",
IF(TYPE(INDEX(Table1.Sales_Data[],0,MATCH(L4,Table1.Sales_Data[#Headers],0)))=2,"TEXT",
IF(TYPE(INDEX(Table1.Sales_Data[],0,MATCH(L4,Table1.Sales_Data[#Headers],0)))=4,"LOGICAL",
IF(TYPE(INDEX(Table1.Sales_Data[],0,MATCH(L4,Table1.Sales_Data[#Headers],0)))=16,"ERROR",
"LAINNYA"))))</f>
        <v>DATE</v>
      </c>
      <c r="P4" s="50"/>
    </row>
    <row r="5" spans="1:16" x14ac:dyDescent="0.25">
      <c r="A5" t="s">
        <v>24</v>
      </c>
      <c r="B5" s="16">
        <v>45966</v>
      </c>
      <c r="C5" t="s">
        <v>25</v>
      </c>
      <c r="D5" t="s">
        <v>26</v>
      </c>
      <c r="E5" t="s">
        <v>27</v>
      </c>
      <c r="F5" t="s">
        <v>28</v>
      </c>
      <c r="G5" t="s">
        <v>20</v>
      </c>
      <c r="H5" s="2">
        <v>161.69999999999999</v>
      </c>
      <c r="I5">
        <v>1</v>
      </c>
      <c r="J5" s="2">
        <v>161.69999999999999</v>
      </c>
      <c r="L5" s="3" t="s">
        <v>2</v>
      </c>
      <c r="M5" s="4">
        <f>COUNTA(INDEX(Table1.Sales_Data[],0,MATCH(L5,Table1.Sales_Data[#Headers],0)))</f>
        <v>499</v>
      </c>
      <c r="N5" s="5">
        <f>COUNTBLANK(INDEX(Table1.Sales_Data[],0,MATCH(L5,Table1.Sales_Data[#Headers],0)))</f>
        <v>0</v>
      </c>
      <c r="O5" s="5" t="str">
        <f>IF(TYPE(INDEX(Table1.Sales_Data[],0,MATCH(L5,Table1.Sales_Data[#Headers],0)))=1,"NUMBER",
IF(TYPE(INDEX(Table1.Sales_Data[],0,MATCH(L5,Table1.Sales_Data[#Headers],0)))=2,"TEXT",
IF(TYPE(INDEX(Table1.Sales_Data[],0,MATCH(L5,Table1.Sales_Data[#Headers],0)))=4,"LOGICAL",
IF(TYPE(INDEX(Table1.Sales_Data[],0,MATCH(L5,Table1.Sales_Data[#Headers],0)))=16,"ERROR",
"LAINNYA"))))</f>
        <v>TEXT</v>
      </c>
      <c r="P5" s="50"/>
    </row>
    <row r="6" spans="1:16" x14ac:dyDescent="0.25">
      <c r="A6" t="s">
        <v>29</v>
      </c>
      <c r="B6" s="16">
        <v>45937</v>
      </c>
      <c r="C6" t="s">
        <v>30</v>
      </c>
      <c r="D6" t="s">
        <v>31</v>
      </c>
      <c r="E6" t="s">
        <v>18</v>
      </c>
      <c r="F6" t="s">
        <v>32</v>
      </c>
      <c r="G6" t="s">
        <v>15</v>
      </c>
      <c r="H6" s="2">
        <v>64.319999999999993</v>
      </c>
      <c r="I6">
        <v>14</v>
      </c>
      <c r="J6" s="2">
        <v>900.48</v>
      </c>
      <c r="L6" s="3" t="s">
        <v>3</v>
      </c>
      <c r="M6" s="4">
        <f>COUNTA(INDEX(Table1.Sales_Data[],0,MATCH(L6,Table1.Sales_Data[#Headers],0)))</f>
        <v>499</v>
      </c>
      <c r="N6" s="5">
        <f>COUNTBLANK(INDEX(Table1.Sales_Data[],0,MATCH(L6,Table1.Sales_Data[#Headers],0)))</f>
        <v>0</v>
      </c>
      <c r="O6" s="5" t="str">
        <f>IF(TYPE(INDEX(Table1.Sales_Data[],0,MATCH(L6,Table1.Sales_Data[#Headers],0)))=1,"NUMBER",
IF(TYPE(INDEX(Table1.Sales_Data[],0,MATCH(L6,Table1.Sales_Data[#Headers],0)))=2,"TEXT",
IF(TYPE(INDEX(Table1.Sales_Data[],0,MATCH(L6,Table1.Sales_Data[#Headers],0)))=4,"LOGICAL",
IF(TYPE(INDEX(Table1.Sales_Data[],0,MATCH(L6,Table1.Sales_Data[#Headers],0)))=16,"ERROR",
"LAINNYA"))))</f>
        <v>TEXT</v>
      </c>
      <c r="P6" s="50"/>
    </row>
    <row r="7" spans="1:16" x14ac:dyDescent="0.25">
      <c r="A7" t="s">
        <v>33</v>
      </c>
      <c r="B7" s="16">
        <v>45739</v>
      </c>
      <c r="C7" t="s">
        <v>34</v>
      </c>
      <c r="D7" t="s">
        <v>35</v>
      </c>
      <c r="E7" t="s">
        <v>23</v>
      </c>
      <c r="F7" t="s">
        <v>14</v>
      </c>
      <c r="G7" t="s">
        <v>36</v>
      </c>
      <c r="H7" s="2">
        <v>64.319999999999993</v>
      </c>
      <c r="I7">
        <v>14</v>
      </c>
      <c r="J7" s="2">
        <v>900.48</v>
      </c>
      <c r="L7" s="3" t="s">
        <v>4</v>
      </c>
      <c r="M7" s="4">
        <f>COUNTA(INDEX(Table1.Sales_Data[],0,MATCH(L7,Table1.Sales_Data[#Headers],0)))</f>
        <v>499</v>
      </c>
      <c r="N7" s="5">
        <f>COUNTBLANK(INDEX(Table1.Sales_Data[],0,MATCH(L7,Table1.Sales_Data[#Headers],0)))</f>
        <v>0</v>
      </c>
      <c r="O7" s="5" t="str">
        <f>IF(TYPE(INDEX(Table1.Sales_Data[],0,MATCH(L7,Table1.Sales_Data[#Headers],0)))=1,"NUMBER",
IF(TYPE(INDEX(Table1.Sales_Data[],0,MATCH(L7,Table1.Sales_Data[#Headers],0)))=2,"TEXT",
IF(TYPE(INDEX(Table1.Sales_Data[],0,MATCH(L7,Table1.Sales_Data[#Headers],0)))=4,"LOGICAL",
IF(TYPE(INDEX(Table1.Sales_Data[],0,MATCH(L7,Table1.Sales_Data[#Headers],0)))=16,"ERROR",
"LAINNYA"))))</f>
        <v>TEXT</v>
      </c>
      <c r="P7" s="50"/>
    </row>
    <row r="8" spans="1:16" x14ac:dyDescent="0.25">
      <c r="A8" t="s">
        <v>37</v>
      </c>
      <c r="B8" s="16">
        <v>45710</v>
      </c>
      <c r="C8" t="s">
        <v>38</v>
      </c>
      <c r="D8" t="s">
        <v>22</v>
      </c>
      <c r="E8" t="s">
        <v>13</v>
      </c>
      <c r="F8" t="s">
        <v>39</v>
      </c>
      <c r="G8" t="s">
        <v>36</v>
      </c>
      <c r="H8" s="2">
        <v>42.78</v>
      </c>
      <c r="I8">
        <v>3</v>
      </c>
      <c r="J8" s="2">
        <v>128.34</v>
      </c>
      <c r="L8" s="3" t="s">
        <v>5</v>
      </c>
      <c r="M8" s="4">
        <f>COUNTA(INDEX(Table1.Sales_Data[],0,MATCH(L8,Table1.Sales_Data[#Headers],0)))</f>
        <v>499</v>
      </c>
      <c r="N8" s="5">
        <f>COUNTBLANK(INDEX(Table1.Sales_Data[],0,MATCH(L8,Table1.Sales_Data[#Headers],0)))</f>
        <v>0</v>
      </c>
      <c r="O8" s="5" t="str">
        <f>IF(TYPE(INDEX(Table1.Sales_Data[],0,MATCH(L8,Table1.Sales_Data[#Headers],0)))=1,"NUMBER",
IF(TYPE(INDEX(Table1.Sales_Data[],0,MATCH(L8,Table1.Sales_Data[#Headers],0)))=2,"TEXT",
IF(TYPE(INDEX(Table1.Sales_Data[],0,MATCH(L8,Table1.Sales_Data[#Headers],0)))=4,"LOGICAL",
IF(TYPE(INDEX(Table1.Sales_Data[],0,MATCH(L8,Table1.Sales_Data[#Headers],0)))=16,"ERROR",
"LAINNYA"))))</f>
        <v>TEXT</v>
      </c>
      <c r="P8" s="50"/>
    </row>
    <row r="9" spans="1:16" x14ac:dyDescent="0.25">
      <c r="A9" t="s">
        <v>40</v>
      </c>
      <c r="B9" s="16">
        <v>45967</v>
      </c>
      <c r="C9" t="s">
        <v>11</v>
      </c>
      <c r="D9" t="s">
        <v>12</v>
      </c>
      <c r="E9" t="s">
        <v>41</v>
      </c>
      <c r="F9" t="s">
        <v>42</v>
      </c>
      <c r="G9" t="s">
        <v>15</v>
      </c>
      <c r="H9" s="2">
        <v>220.56</v>
      </c>
      <c r="I9">
        <v>9</v>
      </c>
      <c r="J9" s="2">
        <v>1985.04</v>
      </c>
      <c r="L9" s="3" t="s">
        <v>6</v>
      </c>
      <c r="M9" s="4">
        <f>COUNTA(INDEX(Table1.Sales_Data[],0,MATCH(L9,Table1.Sales_Data[#Headers],0)))</f>
        <v>499</v>
      </c>
      <c r="N9" s="5">
        <f>COUNTBLANK(INDEX(Table1.Sales_Data[],0,MATCH(L9,Table1.Sales_Data[#Headers],0)))</f>
        <v>0</v>
      </c>
      <c r="O9" s="5" t="str">
        <f>IF(TYPE(INDEX(Table1.Sales_Data[],0,MATCH(L9,Table1.Sales_Data[#Headers],0)))=1,"NUMBER",
IF(TYPE(INDEX(Table1.Sales_Data[],0,MATCH(L9,Table1.Sales_Data[#Headers],0)))=2,"TEXT",
IF(TYPE(INDEX(Table1.Sales_Data[],0,MATCH(L9,Table1.Sales_Data[#Headers],0)))=4,"LOGICAL",
IF(TYPE(INDEX(Table1.Sales_Data[],0,MATCH(L9,Table1.Sales_Data[#Headers],0)))=16,"ERROR",
"LAINNYA"))))</f>
        <v>TEXT</v>
      </c>
      <c r="P9" s="50"/>
    </row>
    <row r="10" spans="1:16" x14ac:dyDescent="0.25">
      <c r="A10" t="s">
        <v>43</v>
      </c>
      <c r="B10" s="16">
        <v>45851</v>
      </c>
      <c r="C10" t="s">
        <v>25</v>
      </c>
      <c r="D10" t="s">
        <v>35</v>
      </c>
      <c r="E10" t="s">
        <v>27</v>
      </c>
      <c r="F10" t="s">
        <v>42</v>
      </c>
      <c r="G10" t="s">
        <v>36</v>
      </c>
      <c r="H10" s="2">
        <v>162.25</v>
      </c>
      <c r="I10">
        <v>3</v>
      </c>
      <c r="J10" s="2">
        <v>486.75</v>
      </c>
      <c r="L10" s="6" t="s">
        <v>7</v>
      </c>
      <c r="M10" s="4">
        <f>COUNTA(INDEX(Table1.Sales_Data[],0,MATCH(L10,Table1.Sales_Data[#Headers],0)))</f>
        <v>499</v>
      </c>
      <c r="N10" s="5">
        <f>COUNTBLANK(INDEX(Table1.Sales_Data[],0,MATCH(L10,Table1.Sales_Data[#Headers],0)))</f>
        <v>0</v>
      </c>
      <c r="O10" s="5" t="str">
        <f>IF(TYPE(INDEX(Table1.Sales_Data[],0,MATCH(L10,Table1.Sales_Data[#Headers],0)))=1,"NUMBER",
IF(TYPE(INDEX(Table1.Sales_Data[],0,MATCH(L10,Table1.Sales_Data[#Headers],0)))=2,"TEXT",
IF(TYPE(INDEX(Table1.Sales_Data[],0,MATCH(L10,Table1.Sales_Data[#Headers],0)))=4,"LOGICAL",
IF(TYPE(INDEX(Table1.Sales_Data[],0,MATCH(L10,Table1.Sales_Data[#Headers],0)))=16,"ERROR",
"LAINNYA"))))</f>
        <v>NUMBER</v>
      </c>
      <c r="P10" s="50"/>
    </row>
    <row r="11" spans="1:16" x14ac:dyDescent="0.25">
      <c r="A11" t="s">
        <v>44</v>
      </c>
      <c r="B11" s="16">
        <v>45953</v>
      </c>
      <c r="C11" t="s">
        <v>17</v>
      </c>
      <c r="D11" t="s">
        <v>22</v>
      </c>
      <c r="E11" t="s">
        <v>45</v>
      </c>
      <c r="F11" t="s">
        <v>28</v>
      </c>
      <c r="G11" t="s">
        <v>15</v>
      </c>
      <c r="H11" s="2">
        <v>185.78</v>
      </c>
      <c r="I11">
        <v>7</v>
      </c>
      <c r="J11" s="2">
        <v>1300.46</v>
      </c>
      <c r="L11" s="3" t="s">
        <v>8</v>
      </c>
      <c r="M11" s="4">
        <f>COUNTA(INDEX(Table1.Sales_Data[],0,MATCH(L11,Table1.Sales_Data[#Headers],0)))</f>
        <v>499</v>
      </c>
      <c r="N11" s="5">
        <f>COUNTBLANK(INDEX(Table1.Sales_Data[],0,MATCH(L11,Table1.Sales_Data[#Headers],0)))</f>
        <v>0</v>
      </c>
      <c r="O11" s="5" t="str">
        <f>IF(TYPE(INDEX(Table1.Sales_Data[],0,MATCH(L11,Table1.Sales_Data[#Headers],0)))=1,"NUMBER",
IF(TYPE(INDEX(Table1.Sales_Data[],0,MATCH(L11,Table1.Sales_Data[#Headers],0)))=2,"TEXT",
IF(TYPE(INDEX(Table1.Sales_Data[],0,MATCH(L11,Table1.Sales_Data[#Headers],0)))=4,"LOGICAL",
IF(TYPE(INDEX(Table1.Sales_Data[],0,MATCH(L11,Table1.Sales_Data[#Headers],0)))=16,"ERROR",
"LAINNYA"))))</f>
        <v>NUMBER</v>
      </c>
      <c r="P11" s="50"/>
    </row>
    <row r="12" spans="1:16" x14ac:dyDescent="0.25">
      <c r="A12" t="s">
        <v>46</v>
      </c>
      <c r="B12" s="16">
        <v>45806</v>
      </c>
      <c r="C12" t="s">
        <v>30</v>
      </c>
      <c r="D12" t="s">
        <v>22</v>
      </c>
      <c r="E12" t="s">
        <v>41</v>
      </c>
      <c r="F12" t="s">
        <v>32</v>
      </c>
      <c r="G12" t="s">
        <v>36</v>
      </c>
      <c r="H12" s="2">
        <v>34.53</v>
      </c>
      <c r="I12">
        <v>3</v>
      </c>
      <c r="J12" s="2">
        <v>103.59</v>
      </c>
      <c r="L12" s="7" t="s">
        <v>9</v>
      </c>
      <c r="M12" s="8">
        <f>COUNTA(INDEX(Table1.Sales_Data[],0,MATCH(L12,Table1.Sales_Data[#Headers],0)))</f>
        <v>499</v>
      </c>
      <c r="N12" s="9">
        <f>COUNTBLANK(INDEX(Table1.Sales_Data[],0,MATCH(L12,Table1.Sales_Data[#Headers],0)))</f>
        <v>0</v>
      </c>
      <c r="O12" s="5" t="str">
        <f>IF(TYPE(INDEX(Table1.Sales_Data[],0,MATCH(L12,Table1.Sales_Data[#Headers],0)))=1,"NUMBER",
IF(TYPE(INDEX(Table1.Sales_Data[],0,MATCH(L12,Table1.Sales_Data[#Headers],0)))=2,"TEXT",
IF(TYPE(INDEX(Table1.Sales_Data[],0,MATCH(L12,Table1.Sales_Data[#Headers],0)))=4,"LOGICAL",
IF(TYPE(INDEX(Table1.Sales_Data[],0,MATCH(L12,Table1.Sales_Data[#Headers],0)))=16,"ERROR",
"LAINNYA"))))</f>
        <v>NUMBER</v>
      </c>
      <c r="P12" s="51"/>
    </row>
    <row r="13" spans="1:16" x14ac:dyDescent="0.25">
      <c r="A13" t="s">
        <v>47</v>
      </c>
      <c r="B13" s="16">
        <v>45983</v>
      </c>
      <c r="C13" t="s">
        <v>30</v>
      </c>
      <c r="D13" t="s">
        <v>35</v>
      </c>
      <c r="E13" t="s">
        <v>13</v>
      </c>
      <c r="F13" t="s">
        <v>14</v>
      </c>
      <c r="G13" t="s">
        <v>20</v>
      </c>
      <c r="H13" s="2">
        <v>243.38</v>
      </c>
      <c r="I13">
        <v>12</v>
      </c>
      <c r="J13" s="2">
        <v>2920.56</v>
      </c>
    </row>
    <row r="14" spans="1:16" x14ac:dyDescent="0.25">
      <c r="A14" t="s">
        <v>48</v>
      </c>
      <c r="B14" s="16">
        <v>45794</v>
      </c>
      <c r="C14" t="s">
        <v>25</v>
      </c>
      <c r="D14" t="s">
        <v>12</v>
      </c>
      <c r="E14" t="s">
        <v>23</v>
      </c>
      <c r="F14" t="s">
        <v>42</v>
      </c>
      <c r="G14" t="s">
        <v>20</v>
      </c>
      <c r="H14" s="2">
        <v>213.14</v>
      </c>
      <c r="I14">
        <v>3</v>
      </c>
      <c r="J14" s="2">
        <v>639.41999999999996</v>
      </c>
    </row>
    <row r="15" spans="1:16" x14ac:dyDescent="0.25">
      <c r="A15" t="s">
        <v>49</v>
      </c>
      <c r="B15" s="16">
        <v>45783</v>
      </c>
      <c r="C15" t="s">
        <v>38</v>
      </c>
      <c r="D15" t="s">
        <v>31</v>
      </c>
      <c r="E15" t="s">
        <v>13</v>
      </c>
      <c r="F15" t="s">
        <v>28</v>
      </c>
      <c r="G15" t="s">
        <v>20</v>
      </c>
      <c r="H15" s="2">
        <v>76.709999999999994</v>
      </c>
      <c r="I15">
        <v>6</v>
      </c>
      <c r="J15" s="2">
        <v>460.26</v>
      </c>
    </row>
    <row r="16" spans="1:16" x14ac:dyDescent="0.25">
      <c r="A16" t="s">
        <v>50</v>
      </c>
      <c r="B16" s="16">
        <v>45943</v>
      </c>
      <c r="C16" t="s">
        <v>17</v>
      </c>
      <c r="D16" t="s">
        <v>35</v>
      </c>
      <c r="E16" t="s">
        <v>45</v>
      </c>
      <c r="F16" t="s">
        <v>14</v>
      </c>
      <c r="G16" t="s">
        <v>15</v>
      </c>
      <c r="H16" s="2">
        <v>70</v>
      </c>
      <c r="I16">
        <v>8</v>
      </c>
      <c r="J16" s="2">
        <v>560</v>
      </c>
    </row>
    <row r="17" spans="1:12" x14ac:dyDescent="0.25">
      <c r="A17" t="s">
        <v>51</v>
      </c>
      <c r="B17" s="16">
        <v>45819</v>
      </c>
      <c r="C17" t="s">
        <v>34</v>
      </c>
      <c r="D17" t="s">
        <v>22</v>
      </c>
      <c r="E17" t="s">
        <v>23</v>
      </c>
      <c r="F17" t="s">
        <v>42</v>
      </c>
      <c r="G17" t="s">
        <v>20</v>
      </c>
      <c r="H17" s="2">
        <v>70.349999999999994</v>
      </c>
      <c r="I17">
        <v>13</v>
      </c>
      <c r="J17" s="2">
        <v>914.55</v>
      </c>
    </row>
    <row r="18" spans="1:12" x14ac:dyDescent="0.25">
      <c r="A18" t="s">
        <v>52</v>
      </c>
      <c r="B18" s="16">
        <v>45819</v>
      </c>
      <c r="C18" t="s">
        <v>17</v>
      </c>
      <c r="D18" t="s">
        <v>31</v>
      </c>
      <c r="E18" t="s">
        <v>41</v>
      </c>
      <c r="F18" t="s">
        <v>28</v>
      </c>
      <c r="G18" t="s">
        <v>36</v>
      </c>
      <c r="H18" s="2">
        <v>96.93</v>
      </c>
      <c r="I18">
        <v>7</v>
      </c>
      <c r="J18" s="2">
        <v>678.51</v>
      </c>
    </row>
    <row r="19" spans="1:12" x14ac:dyDescent="0.25">
      <c r="A19" t="s">
        <v>53</v>
      </c>
      <c r="B19" s="16">
        <v>45731</v>
      </c>
      <c r="C19" t="s">
        <v>30</v>
      </c>
      <c r="D19" t="s">
        <v>26</v>
      </c>
      <c r="E19" t="s">
        <v>27</v>
      </c>
      <c r="F19" t="s">
        <v>42</v>
      </c>
      <c r="G19" t="s">
        <v>20</v>
      </c>
      <c r="H19" s="2">
        <v>145.44999999999999</v>
      </c>
      <c r="I19">
        <v>9</v>
      </c>
      <c r="J19" s="2">
        <v>1309.05</v>
      </c>
    </row>
    <row r="20" spans="1:12" x14ac:dyDescent="0.25">
      <c r="A20" t="s">
        <v>54</v>
      </c>
      <c r="B20" s="16">
        <v>45792</v>
      </c>
      <c r="C20" t="s">
        <v>38</v>
      </c>
      <c r="D20" t="s">
        <v>55</v>
      </c>
      <c r="E20" t="s">
        <v>41</v>
      </c>
      <c r="F20" t="s">
        <v>32</v>
      </c>
      <c r="G20" t="s">
        <v>15</v>
      </c>
      <c r="H20" s="2">
        <v>125.03</v>
      </c>
      <c r="I20">
        <v>19</v>
      </c>
      <c r="J20" s="2">
        <v>2375.5700000000002</v>
      </c>
    </row>
    <row r="21" spans="1:12" x14ac:dyDescent="0.25">
      <c r="A21" t="s">
        <v>56</v>
      </c>
      <c r="B21" s="16">
        <v>45728</v>
      </c>
      <c r="C21" t="s">
        <v>38</v>
      </c>
      <c r="D21" t="s">
        <v>22</v>
      </c>
      <c r="E21" t="s">
        <v>45</v>
      </c>
      <c r="F21" t="s">
        <v>39</v>
      </c>
      <c r="G21" t="s">
        <v>15</v>
      </c>
      <c r="H21" s="2">
        <v>94.07</v>
      </c>
      <c r="I21">
        <v>17</v>
      </c>
      <c r="J21" s="2">
        <v>1599.19</v>
      </c>
      <c r="L21" s="1"/>
    </row>
    <row r="22" spans="1:12" x14ac:dyDescent="0.25">
      <c r="A22" t="s">
        <v>57</v>
      </c>
      <c r="B22" s="16">
        <v>45736</v>
      </c>
      <c r="C22" t="s">
        <v>17</v>
      </c>
      <c r="D22" t="s">
        <v>31</v>
      </c>
      <c r="E22" t="s">
        <v>18</v>
      </c>
      <c r="F22" t="s">
        <v>19</v>
      </c>
      <c r="G22" t="s">
        <v>36</v>
      </c>
      <c r="H22" s="2">
        <v>164.61</v>
      </c>
      <c r="I22">
        <v>6</v>
      </c>
      <c r="J22" s="2">
        <v>987.66</v>
      </c>
      <c r="L22" s="1"/>
    </row>
    <row r="23" spans="1:12" x14ac:dyDescent="0.25">
      <c r="A23" t="s">
        <v>58</v>
      </c>
      <c r="B23" s="16">
        <v>45853</v>
      </c>
      <c r="C23" t="s">
        <v>38</v>
      </c>
      <c r="D23" t="s">
        <v>55</v>
      </c>
      <c r="E23" t="s">
        <v>13</v>
      </c>
      <c r="F23" t="s">
        <v>42</v>
      </c>
      <c r="G23" t="s">
        <v>15</v>
      </c>
      <c r="H23" s="2">
        <v>60.69</v>
      </c>
      <c r="I23">
        <v>20</v>
      </c>
      <c r="J23" s="2">
        <v>1213.8</v>
      </c>
      <c r="L23" s="1"/>
    </row>
    <row r="24" spans="1:12" x14ac:dyDescent="0.25">
      <c r="A24" t="s">
        <v>59</v>
      </c>
      <c r="B24" s="16">
        <v>46006</v>
      </c>
      <c r="C24" t="s">
        <v>17</v>
      </c>
      <c r="D24" t="s">
        <v>55</v>
      </c>
      <c r="E24" t="s">
        <v>13</v>
      </c>
      <c r="F24" t="s">
        <v>39</v>
      </c>
      <c r="G24" t="s">
        <v>20</v>
      </c>
      <c r="H24" s="2">
        <v>94.27</v>
      </c>
      <c r="I24">
        <v>4</v>
      </c>
      <c r="J24" s="2">
        <v>377.08</v>
      </c>
      <c r="L24" s="1"/>
    </row>
    <row r="25" spans="1:12" x14ac:dyDescent="0.25">
      <c r="A25" t="s">
        <v>60</v>
      </c>
      <c r="B25" s="16">
        <v>45832</v>
      </c>
      <c r="C25" t="s">
        <v>34</v>
      </c>
      <c r="D25" t="s">
        <v>31</v>
      </c>
      <c r="E25" t="s">
        <v>23</v>
      </c>
      <c r="F25" t="s">
        <v>61</v>
      </c>
      <c r="G25" t="s">
        <v>15</v>
      </c>
      <c r="H25" s="2">
        <v>110.6</v>
      </c>
      <c r="I25">
        <v>4</v>
      </c>
      <c r="J25" s="2">
        <v>442.4</v>
      </c>
      <c r="L25" s="1"/>
    </row>
    <row r="26" spans="1:12" x14ac:dyDescent="0.25">
      <c r="A26" t="s">
        <v>62</v>
      </c>
      <c r="B26" s="16">
        <v>45792</v>
      </c>
      <c r="C26" t="s">
        <v>30</v>
      </c>
      <c r="D26" t="s">
        <v>55</v>
      </c>
      <c r="E26" t="s">
        <v>45</v>
      </c>
      <c r="F26" t="s">
        <v>39</v>
      </c>
      <c r="G26" t="s">
        <v>20</v>
      </c>
      <c r="H26" s="2">
        <v>130.34</v>
      </c>
      <c r="I26">
        <v>17</v>
      </c>
      <c r="J26" s="2">
        <v>2215.7800000000002</v>
      </c>
    </row>
    <row r="27" spans="1:12" x14ac:dyDescent="0.25">
      <c r="A27" t="s">
        <v>63</v>
      </c>
      <c r="B27" s="16">
        <v>45810</v>
      </c>
      <c r="C27" t="s">
        <v>25</v>
      </c>
      <c r="D27" t="s">
        <v>26</v>
      </c>
      <c r="E27" t="s">
        <v>23</v>
      </c>
      <c r="F27" t="s">
        <v>32</v>
      </c>
      <c r="G27" t="s">
        <v>15</v>
      </c>
      <c r="H27" s="2">
        <v>202.74</v>
      </c>
      <c r="I27">
        <v>17</v>
      </c>
      <c r="J27" s="2">
        <v>3446.58</v>
      </c>
    </row>
    <row r="28" spans="1:12" x14ac:dyDescent="0.25">
      <c r="A28" t="s">
        <v>64</v>
      </c>
      <c r="B28" s="16">
        <v>45934</v>
      </c>
      <c r="C28" t="s">
        <v>11</v>
      </c>
      <c r="D28" t="s">
        <v>55</v>
      </c>
      <c r="E28" t="s">
        <v>13</v>
      </c>
      <c r="F28" t="s">
        <v>61</v>
      </c>
      <c r="G28" t="s">
        <v>15</v>
      </c>
      <c r="H28" s="2">
        <v>73.930000000000007</v>
      </c>
      <c r="I28">
        <v>17</v>
      </c>
      <c r="J28" s="2">
        <v>1256.81</v>
      </c>
    </row>
    <row r="29" spans="1:12" x14ac:dyDescent="0.25">
      <c r="A29" t="s">
        <v>65</v>
      </c>
      <c r="B29" s="16">
        <v>45715</v>
      </c>
      <c r="C29" t="s">
        <v>34</v>
      </c>
      <c r="D29" t="s">
        <v>26</v>
      </c>
      <c r="E29" t="s">
        <v>45</v>
      </c>
      <c r="F29" t="s">
        <v>14</v>
      </c>
      <c r="G29" t="s">
        <v>20</v>
      </c>
      <c r="H29" s="2">
        <v>143.13</v>
      </c>
      <c r="I29">
        <v>12</v>
      </c>
      <c r="J29" s="2">
        <v>1717.56</v>
      </c>
    </row>
    <row r="30" spans="1:12" x14ac:dyDescent="0.25">
      <c r="A30" t="s">
        <v>66</v>
      </c>
      <c r="B30" s="16">
        <v>45698</v>
      </c>
      <c r="C30" t="s">
        <v>17</v>
      </c>
      <c r="D30" t="s">
        <v>31</v>
      </c>
      <c r="E30" t="s">
        <v>45</v>
      </c>
      <c r="F30" t="s">
        <v>39</v>
      </c>
      <c r="G30" t="s">
        <v>20</v>
      </c>
      <c r="H30" s="2">
        <v>160.33000000000001</v>
      </c>
      <c r="I30">
        <v>3</v>
      </c>
      <c r="J30" s="2">
        <v>480.99</v>
      </c>
    </row>
    <row r="31" spans="1:12" x14ac:dyDescent="0.25">
      <c r="A31" t="s">
        <v>67</v>
      </c>
      <c r="B31" s="16">
        <v>45722</v>
      </c>
      <c r="C31" t="s">
        <v>17</v>
      </c>
      <c r="D31" t="s">
        <v>31</v>
      </c>
      <c r="E31" t="s">
        <v>18</v>
      </c>
      <c r="F31" t="s">
        <v>14</v>
      </c>
      <c r="G31" t="s">
        <v>36</v>
      </c>
      <c r="H31" s="2">
        <v>40.22</v>
      </c>
      <c r="I31">
        <v>5</v>
      </c>
      <c r="J31" s="2">
        <v>201.1</v>
      </c>
    </row>
    <row r="32" spans="1:12" x14ac:dyDescent="0.25">
      <c r="A32" t="s">
        <v>68</v>
      </c>
      <c r="B32" s="16">
        <v>45928</v>
      </c>
      <c r="C32" t="s">
        <v>38</v>
      </c>
      <c r="D32" t="s">
        <v>26</v>
      </c>
      <c r="E32" t="s">
        <v>18</v>
      </c>
      <c r="F32" t="s">
        <v>39</v>
      </c>
      <c r="G32" t="s">
        <v>20</v>
      </c>
      <c r="H32" s="2">
        <v>163.66</v>
      </c>
      <c r="I32">
        <v>20</v>
      </c>
      <c r="J32" s="2">
        <v>3273.2</v>
      </c>
    </row>
    <row r="33" spans="1:10" x14ac:dyDescent="0.25">
      <c r="A33" t="s">
        <v>69</v>
      </c>
      <c r="B33" s="16">
        <v>46011</v>
      </c>
      <c r="C33" t="s">
        <v>17</v>
      </c>
      <c r="D33" t="s">
        <v>35</v>
      </c>
      <c r="E33" t="s">
        <v>41</v>
      </c>
      <c r="F33" t="s">
        <v>28</v>
      </c>
      <c r="G33" t="s">
        <v>20</v>
      </c>
      <c r="H33" s="2">
        <v>67.52</v>
      </c>
      <c r="I33">
        <v>7</v>
      </c>
      <c r="J33" s="2">
        <v>472.64</v>
      </c>
    </row>
    <row r="34" spans="1:10" x14ac:dyDescent="0.25">
      <c r="A34" t="s">
        <v>70</v>
      </c>
      <c r="B34" s="16">
        <v>45849</v>
      </c>
      <c r="C34" t="s">
        <v>25</v>
      </c>
      <c r="D34" t="s">
        <v>31</v>
      </c>
      <c r="E34" t="s">
        <v>45</v>
      </c>
      <c r="F34" t="s">
        <v>14</v>
      </c>
      <c r="G34" t="s">
        <v>15</v>
      </c>
      <c r="H34" s="2">
        <v>44.31</v>
      </c>
      <c r="I34">
        <v>15</v>
      </c>
      <c r="J34" s="2">
        <v>664.65</v>
      </c>
    </row>
    <row r="35" spans="1:10" x14ac:dyDescent="0.25">
      <c r="A35" t="s">
        <v>71</v>
      </c>
      <c r="B35" s="16">
        <v>45690</v>
      </c>
      <c r="C35" t="s">
        <v>11</v>
      </c>
      <c r="D35" t="s">
        <v>55</v>
      </c>
      <c r="E35" t="s">
        <v>18</v>
      </c>
      <c r="F35" t="s">
        <v>14</v>
      </c>
      <c r="G35" t="s">
        <v>20</v>
      </c>
      <c r="H35" s="2">
        <v>238.75</v>
      </c>
      <c r="I35">
        <v>11</v>
      </c>
      <c r="J35" s="2">
        <v>2626.25</v>
      </c>
    </row>
    <row r="36" spans="1:10" x14ac:dyDescent="0.25">
      <c r="A36" t="s">
        <v>72</v>
      </c>
      <c r="B36" s="16">
        <v>45770</v>
      </c>
      <c r="C36" t="s">
        <v>11</v>
      </c>
      <c r="D36" t="s">
        <v>12</v>
      </c>
      <c r="E36" t="s">
        <v>27</v>
      </c>
      <c r="F36" t="s">
        <v>19</v>
      </c>
      <c r="G36" t="s">
        <v>15</v>
      </c>
      <c r="H36" s="2">
        <v>242.44</v>
      </c>
      <c r="I36">
        <v>1</v>
      </c>
      <c r="J36" s="2">
        <v>242.44</v>
      </c>
    </row>
    <row r="37" spans="1:10" x14ac:dyDescent="0.25">
      <c r="A37" t="s">
        <v>73</v>
      </c>
      <c r="B37" s="16">
        <v>45692</v>
      </c>
      <c r="C37" t="s">
        <v>34</v>
      </c>
      <c r="D37" t="s">
        <v>22</v>
      </c>
      <c r="E37" t="s">
        <v>18</v>
      </c>
      <c r="F37" t="s">
        <v>14</v>
      </c>
      <c r="G37" t="s">
        <v>36</v>
      </c>
      <c r="H37" s="2">
        <v>207.85</v>
      </c>
      <c r="I37">
        <v>2</v>
      </c>
      <c r="J37" s="2">
        <v>415.7</v>
      </c>
    </row>
    <row r="38" spans="1:10" x14ac:dyDescent="0.25">
      <c r="A38" t="s">
        <v>74</v>
      </c>
      <c r="B38" s="16">
        <v>46000</v>
      </c>
      <c r="C38" t="s">
        <v>30</v>
      </c>
      <c r="D38" t="s">
        <v>55</v>
      </c>
      <c r="E38" t="s">
        <v>23</v>
      </c>
      <c r="F38" t="s">
        <v>28</v>
      </c>
      <c r="G38" t="s">
        <v>20</v>
      </c>
      <c r="H38" s="2">
        <v>97.02</v>
      </c>
      <c r="I38">
        <v>16</v>
      </c>
      <c r="J38" s="2">
        <v>1552.32</v>
      </c>
    </row>
    <row r="39" spans="1:10" x14ac:dyDescent="0.25">
      <c r="A39" t="s">
        <v>75</v>
      </c>
      <c r="B39" s="16">
        <v>45953</v>
      </c>
      <c r="C39" t="s">
        <v>30</v>
      </c>
      <c r="D39" t="s">
        <v>31</v>
      </c>
      <c r="E39" t="s">
        <v>41</v>
      </c>
      <c r="F39" t="s">
        <v>14</v>
      </c>
      <c r="G39" t="s">
        <v>15</v>
      </c>
      <c r="H39" s="2">
        <v>51.49</v>
      </c>
      <c r="I39">
        <v>16</v>
      </c>
      <c r="J39" s="2">
        <v>823.84</v>
      </c>
    </row>
    <row r="40" spans="1:10" x14ac:dyDescent="0.25">
      <c r="A40" t="s">
        <v>76</v>
      </c>
      <c r="B40" s="16">
        <v>45707</v>
      </c>
      <c r="C40" t="s">
        <v>34</v>
      </c>
      <c r="D40" t="s">
        <v>31</v>
      </c>
      <c r="E40" t="s">
        <v>41</v>
      </c>
      <c r="F40" t="s">
        <v>61</v>
      </c>
      <c r="G40" t="s">
        <v>20</v>
      </c>
      <c r="H40" s="2">
        <v>180.53</v>
      </c>
      <c r="I40">
        <v>14</v>
      </c>
      <c r="J40" s="2">
        <v>2527.42</v>
      </c>
    </row>
    <row r="41" spans="1:10" x14ac:dyDescent="0.25">
      <c r="A41" t="s">
        <v>77</v>
      </c>
      <c r="B41" s="16">
        <v>45685</v>
      </c>
      <c r="C41" t="s">
        <v>11</v>
      </c>
      <c r="D41" t="s">
        <v>31</v>
      </c>
      <c r="E41" t="s">
        <v>27</v>
      </c>
      <c r="F41" t="s">
        <v>32</v>
      </c>
      <c r="G41" t="s">
        <v>15</v>
      </c>
      <c r="H41" s="2">
        <v>126.83</v>
      </c>
      <c r="I41">
        <v>4</v>
      </c>
      <c r="J41" s="2">
        <v>507.32</v>
      </c>
    </row>
    <row r="42" spans="1:10" x14ac:dyDescent="0.25">
      <c r="A42" t="s">
        <v>78</v>
      </c>
      <c r="B42" s="16">
        <v>45785</v>
      </c>
      <c r="C42" t="s">
        <v>30</v>
      </c>
      <c r="D42" t="s">
        <v>55</v>
      </c>
      <c r="E42" t="s">
        <v>41</v>
      </c>
      <c r="F42" t="s">
        <v>14</v>
      </c>
      <c r="G42" t="s">
        <v>36</v>
      </c>
      <c r="H42" s="2">
        <v>56.85</v>
      </c>
      <c r="I42">
        <v>7</v>
      </c>
      <c r="J42" s="2">
        <v>397.95</v>
      </c>
    </row>
    <row r="43" spans="1:10" x14ac:dyDescent="0.25">
      <c r="A43" t="s">
        <v>79</v>
      </c>
      <c r="B43" s="16">
        <v>45751</v>
      </c>
      <c r="C43" t="s">
        <v>38</v>
      </c>
      <c r="D43" t="s">
        <v>26</v>
      </c>
      <c r="E43" t="s">
        <v>45</v>
      </c>
      <c r="F43" t="s">
        <v>61</v>
      </c>
      <c r="G43" t="s">
        <v>20</v>
      </c>
      <c r="H43" s="2">
        <v>138.94</v>
      </c>
      <c r="I43">
        <v>9</v>
      </c>
      <c r="J43" s="2">
        <v>1250.46</v>
      </c>
    </row>
    <row r="44" spans="1:10" x14ac:dyDescent="0.25">
      <c r="A44" t="s">
        <v>80</v>
      </c>
      <c r="B44" s="16">
        <v>45708</v>
      </c>
      <c r="C44" t="s">
        <v>17</v>
      </c>
      <c r="D44" t="s">
        <v>55</v>
      </c>
      <c r="E44" t="s">
        <v>45</v>
      </c>
      <c r="F44" t="s">
        <v>19</v>
      </c>
      <c r="G44" t="s">
        <v>15</v>
      </c>
      <c r="H44" s="2">
        <v>37.57</v>
      </c>
      <c r="I44">
        <v>2</v>
      </c>
      <c r="J44" s="2">
        <v>75.14</v>
      </c>
    </row>
    <row r="45" spans="1:10" x14ac:dyDescent="0.25">
      <c r="A45" t="s">
        <v>81</v>
      </c>
      <c r="B45" s="16">
        <v>45743</v>
      </c>
      <c r="C45" t="s">
        <v>38</v>
      </c>
      <c r="D45" t="s">
        <v>31</v>
      </c>
      <c r="E45" t="s">
        <v>23</v>
      </c>
      <c r="F45" t="s">
        <v>39</v>
      </c>
      <c r="G45" t="s">
        <v>36</v>
      </c>
      <c r="H45" s="2">
        <v>230.05</v>
      </c>
      <c r="I45">
        <v>14</v>
      </c>
      <c r="J45" s="2">
        <v>3220.7</v>
      </c>
    </row>
    <row r="46" spans="1:10" x14ac:dyDescent="0.25">
      <c r="A46" t="s">
        <v>82</v>
      </c>
      <c r="B46" s="16">
        <v>45688</v>
      </c>
      <c r="C46" t="s">
        <v>38</v>
      </c>
      <c r="D46" t="s">
        <v>22</v>
      </c>
      <c r="E46" t="s">
        <v>41</v>
      </c>
      <c r="F46" t="s">
        <v>32</v>
      </c>
      <c r="G46" t="s">
        <v>36</v>
      </c>
      <c r="H46" s="2">
        <v>86.93</v>
      </c>
      <c r="I46">
        <v>6</v>
      </c>
      <c r="J46" s="2">
        <v>521.58000000000004</v>
      </c>
    </row>
    <row r="47" spans="1:10" x14ac:dyDescent="0.25">
      <c r="A47" t="s">
        <v>83</v>
      </c>
      <c r="B47" s="16">
        <v>45804</v>
      </c>
      <c r="C47" t="s">
        <v>17</v>
      </c>
      <c r="D47" t="s">
        <v>12</v>
      </c>
      <c r="E47" t="s">
        <v>18</v>
      </c>
      <c r="F47" t="s">
        <v>28</v>
      </c>
      <c r="G47" t="s">
        <v>20</v>
      </c>
      <c r="H47" s="2">
        <v>175.75</v>
      </c>
      <c r="I47">
        <v>14</v>
      </c>
      <c r="J47" s="2">
        <v>2460.5</v>
      </c>
    </row>
    <row r="48" spans="1:10" x14ac:dyDescent="0.25">
      <c r="A48" t="s">
        <v>84</v>
      </c>
      <c r="B48" s="16">
        <v>45907</v>
      </c>
      <c r="C48" t="s">
        <v>30</v>
      </c>
      <c r="D48" t="s">
        <v>35</v>
      </c>
      <c r="E48" t="s">
        <v>23</v>
      </c>
      <c r="F48" t="s">
        <v>19</v>
      </c>
      <c r="G48" t="s">
        <v>20</v>
      </c>
      <c r="H48" s="2">
        <v>98.58</v>
      </c>
      <c r="I48">
        <v>5</v>
      </c>
      <c r="J48" s="2">
        <v>492.9</v>
      </c>
    </row>
    <row r="49" spans="1:10" x14ac:dyDescent="0.25">
      <c r="A49" t="s">
        <v>85</v>
      </c>
      <c r="B49" s="16">
        <v>45935</v>
      </c>
      <c r="C49" t="s">
        <v>17</v>
      </c>
      <c r="D49" t="s">
        <v>35</v>
      </c>
      <c r="E49" t="s">
        <v>45</v>
      </c>
      <c r="F49" t="s">
        <v>19</v>
      </c>
      <c r="G49" t="s">
        <v>20</v>
      </c>
      <c r="H49" s="2">
        <v>144.41</v>
      </c>
      <c r="I49">
        <v>2</v>
      </c>
      <c r="J49" s="2">
        <v>288.82</v>
      </c>
    </row>
    <row r="50" spans="1:10" x14ac:dyDescent="0.25">
      <c r="A50" t="s">
        <v>86</v>
      </c>
      <c r="B50" s="16">
        <v>45902</v>
      </c>
      <c r="C50" t="s">
        <v>25</v>
      </c>
      <c r="D50" t="s">
        <v>26</v>
      </c>
      <c r="E50" t="s">
        <v>45</v>
      </c>
      <c r="F50" t="s">
        <v>42</v>
      </c>
      <c r="G50" t="s">
        <v>15</v>
      </c>
      <c r="H50" s="2">
        <v>150.28</v>
      </c>
      <c r="I50">
        <v>17</v>
      </c>
      <c r="J50" s="2">
        <v>2554.7600000000002</v>
      </c>
    </row>
    <row r="51" spans="1:10" x14ac:dyDescent="0.25">
      <c r="A51" t="s">
        <v>87</v>
      </c>
      <c r="B51" s="16">
        <v>45753</v>
      </c>
      <c r="C51" t="s">
        <v>25</v>
      </c>
      <c r="D51" t="s">
        <v>22</v>
      </c>
      <c r="E51" t="s">
        <v>27</v>
      </c>
      <c r="F51" t="s">
        <v>39</v>
      </c>
      <c r="G51" t="s">
        <v>15</v>
      </c>
      <c r="H51" s="2">
        <v>70.67</v>
      </c>
      <c r="I51">
        <v>3</v>
      </c>
      <c r="J51" s="2">
        <v>212.01</v>
      </c>
    </row>
    <row r="52" spans="1:10" x14ac:dyDescent="0.25">
      <c r="A52" t="s">
        <v>88</v>
      </c>
      <c r="B52" s="16">
        <v>45864</v>
      </c>
      <c r="C52" t="s">
        <v>25</v>
      </c>
      <c r="D52" t="s">
        <v>26</v>
      </c>
      <c r="E52" t="s">
        <v>18</v>
      </c>
      <c r="F52" t="s">
        <v>42</v>
      </c>
      <c r="G52" t="s">
        <v>15</v>
      </c>
      <c r="H52" s="2">
        <v>243.31</v>
      </c>
      <c r="I52">
        <v>4</v>
      </c>
      <c r="J52" s="2">
        <v>973.24</v>
      </c>
    </row>
    <row r="53" spans="1:10" x14ac:dyDescent="0.25">
      <c r="A53" t="s">
        <v>89</v>
      </c>
      <c r="B53" s="16">
        <v>45975</v>
      </c>
      <c r="C53" t="s">
        <v>38</v>
      </c>
      <c r="D53" t="s">
        <v>12</v>
      </c>
      <c r="E53" t="s">
        <v>18</v>
      </c>
      <c r="F53" t="s">
        <v>42</v>
      </c>
      <c r="G53" t="s">
        <v>20</v>
      </c>
      <c r="H53" s="2">
        <v>200.53</v>
      </c>
      <c r="I53">
        <v>3</v>
      </c>
      <c r="J53" s="2">
        <v>601.59</v>
      </c>
    </row>
    <row r="54" spans="1:10" x14ac:dyDescent="0.25">
      <c r="A54" t="s">
        <v>90</v>
      </c>
      <c r="B54" s="16">
        <v>45819</v>
      </c>
      <c r="C54" t="s">
        <v>30</v>
      </c>
      <c r="D54" t="s">
        <v>12</v>
      </c>
      <c r="E54" t="s">
        <v>27</v>
      </c>
      <c r="F54" t="s">
        <v>32</v>
      </c>
      <c r="G54" t="s">
        <v>15</v>
      </c>
      <c r="H54" s="2">
        <v>236.69</v>
      </c>
      <c r="I54">
        <v>9</v>
      </c>
      <c r="J54" s="2">
        <v>2130.21</v>
      </c>
    </row>
    <row r="55" spans="1:10" x14ac:dyDescent="0.25">
      <c r="A55" t="s">
        <v>91</v>
      </c>
      <c r="B55" s="16">
        <v>45793</v>
      </c>
      <c r="C55" t="s">
        <v>30</v>
      </c>
      <c r="D55" t="s">
        <v>12</v>
      </c>
      <c r="E55" t="s">
        <v>27</v>
      </c>
      <c r="F55" t="s">
        <v>32</v>
      </c>
      <c r="G55" t="s">
        <v>36</v>
      </c>
      <c r="H55" s="2">
        <v>226.86</v>
      </c>
      <c r="I55">
        <v>13</v>
      </c>
      <c r="J55" s="2">
        <v>2949.18</v>
      </c>
    </row>
    <row r="56" spans="1:10" x14ac:dyDescent="0.25">
      <c r="A56" t="s">
        <v>92</v>
      </c>
      <c r="B56" s="16">
        <v>45819</v>
      </c>
      <c r="C56" t="s">
        <v>11</v>
      </c>
      <c r="D56" t="s">
        <v>31</v>
      </c>
      <c r="E56" t="s">
        <v>18</v>
      </c>
      <c r="F56" t="s">
        <v>42</v>
      </c>
      <c r="G56" t="s">
        <v>15</v>
      </c>
      <c r="H56" s="2">
        <v>161.54</v>
      </c>
      <c r="I56">
        <v>3</v>
      </c>
      <c r="J56" s="2">
        <v>484.62</v>
      </c>
    </row>
    <row r="57" spans="1:10" x14ac:dyDescent="0.25">
      <c r="A57" t="s">
        <v>93</v>
      </c>
      <c r="B57" s="16">
        <v>45695</v>
      </c>
      <c r="C57" t="s">
        <v>30</v>
      </c>
      <c r="D57" t="s">
        <v>55</v>
      </c>
      <c r="E57" t="s">
        <v>13</v>
      </c>
      <c r="F57" t="s">
        <v>14</v>
      </c>
      <c r="G57" t="s">
        <v>36</v>
      </c>
      <c r="H57" s="2">
        <v>232.81</v>
      </c>
      <c r="I57">
        <v>18</v>
      </c>
      <c r="J57" s="2">
        <v>4190.58</v>
      </c>
    </row>
    <row r="58" spans="1:10" x14ac:dyDescent="0.25">
      <c r="A58" t="s">
        <v>94</v>
      </c>
      <c r="B58" s="16">
        <v>45693</v>
      </c>
      <c r="C58" t="s">
        <v>34</v>
      </c>
      <c r="D58" t="s">
        <v>35</v>
      </c>
      <c r="E58" t="s">
        <v>23</v>
      </c>
      <c r="F58" t="s">
        <v>61</v>
      </c>
      <c r="G58" t="s">
        <v>20</v>
      </c>
      <c r="H58" s="2">
        <v>49.47</v>
      </c>
      <c r="I58">
        <v>8</v>
      </c>
      <c r="J58" s="2">
        <v>395.76</v>
      </c>
    </row>
    <row r="59" spans="1:10" x14ac:dyDescent="0.25">
      <c r="A59" t="s">
        <v>95</v>
      </c>
      <c r="B59" s="16">
        <v>46018</v>
      </c>
      <c r="C59" t="s">
        <v>25</v>
      </c>
      <c r="D59" t="s">
        <v>12</v>
      </c>
      <c r="E59" t="s">
        <v>18</v>
      </c>
      <c r="F59" t="s">
        <v>19</v>
      </c>
      <c r="G59" t="s">
        <v>20</v>
      </c>
      <c r="H59" s="2">
        <v>73.12</v>
      </c>
      <c r="I59">
        <v>10</v>
      </c>
      <c r="J59" s="2">
        <v>731.2</v>
      </c>
    </row>
    <row r="60" spans="1:10" x14ac:dyDescent="0.25">
      <c r="A60" t="s">
        <v>96</v>
      </c>
      <c r="B60" s="16">
        <v>45941</v>
      </c>
      <c r="C60" t="s">
        <v>17</v>
      </c>
      <c r="D60" t="s">
        <v>22</v>
      </c>
      <c r="E60" t="s">
        <v>23</v>
      </c>
      <c r="F60" t="s">
        <v>32</v>
      </c>
      <c r="G60" t="s">
        <v>15</v>
      </c>
      <c r="H60" s="2">
        <v>39.950000000000003</v>
      </c>
      <c r="I60">
        <v>10</v>
      </c>
      <c r="J60" s="2">
        <v>399.5</v>
      </c>
    </row>
    <row r="61" spans="1:10" x14ac:dyDescent="0.25">
      <c r="A61" t="s">
        <v>97</v>
      </c>
      <c r="B61" s="16">
        <v>45712</v>
      </c>
      <c r="C61" t="s">
        <v>30</v>
      </c>
      <c r="D61" t="s">
        <v>35</v>
      </c>
      <c r="E61" t="s">
        <v>13</v>
      </c>
      <c r="F61" t="s">
        <v>42</v>
      </c>
      <c r="G61" t="s">
        <v>15</v>
      </c>
      <c r="H61" s="2">
        <v>101.57</v>
      </c>
      <c r="I61">
        <v>18</v>
      </c>
      <c r="J61" s="2">
        <v>1828.26</v>
      </c>
    </row>
    <row r="62" spans="1:10" x14ac:dyDescent="0.25">
      <c r="A62" t="s">
        <v>98</v>
      </c>
      <c r="B62" s="16">
        <v>45833</v>
      </c>
      <c r="C62" t="s">
        <v>17</v>
      </c>
      <c r="D62" t="s">
        <v>12</v>
      </c>
      <c r="E62" t="s">
        <v>13</v>
      </c>
      <c r="F62" t="s">
        <v>42</v>
      </c>
      <c r="G62" t="s">
        <v>36</v>
      </c>
      <c r="H62" s="2">
        <v>115.51</v>
      </c>
      <c r="I62">
        <v>7</v>
      </c>
      <c r="J62" s="2">
        <v>808.57</v>
      </c>
    </row>
    <row r="63" spans="1:10" x14ac:dyDescent="0.25">
      <c r="A63" t="s">
        <v>99</v>
      </c>
      <c r="B63" s="16">
        <v>45786</v>
      </c>
      <c r="C63" t="s">
        <v>11</v>
      </c>
      <c r="D63" t="s">
        <v>12</v>
      </c>
      <c r="E63" t="s">
        <v>41</v>
      </c>
      <c r="F63" t="s">
        <v>39</v>
      </c>
      <c r="G63" t="s">
        <v>36</v>
      </c>
      <c r="H63" s="2">
        <v>89.7</v>
      </c>
      <c r="I63">
        <v>2</v>
      </c>
      <c r="J63" s="2">
        <v>179.4</v>
      </c>
    </row>
    <row r="64" spans="1:10" x14ac:dyDescent="0.25">
      <c r="A64" t="s">
        <v>100</v>
      </c>
      <c r="B64" s="16">
        <v>45680</v>
      </c>
      <c r="C64" t="s">
        <v>34</v>
      </c>
      <c r="D64" t="s">
        <v>26</v>
      </c>
      <c r="E64" t="s">
        <v>27</v>
      </c>
      <c r="F64" t="s">
        <v>32</v>
      </c>
      <c r="G64" t="s">
        <v>15</v>
      </c>
      <c r="H64" s="2">
        <v>212.32</v>
      </c>
      <c r="I64">
        <v>1</v>
      </c>
      <c r="J64" s="2">
        <v>212.32</v>
      </c>
    </row>
    <row r="65" spans="1:10" x14ac:dyDescent="0.25">
      <c r="A65" t="s">
        <v>101</v>
      </c>
      <c r="B65" s="16">
        <v>45884</v>
      </c>
      <c r="C65" t="s">
        <v>17</v>
      </c>
      <c r="D65" t="s">
        <v>31</v>
      </c>
      <c r="E65" t="s">
        <v>18</v>
      </c>
      <c r="F65" t="s">
        <v>19</v>
      </c>
      <c r="G65" t="s">
        <v>15</v>
      </c>
      <c r="H65" s="2">
        <v>108.49</v>
      </c>
      <c r="I65">
        <v>18</v>
      </c>
      <c r="J65" s="2">
        <v>1952.82</v>
      </c>
    </row>
    <row r="66" spans="1:10" x14ac:dyDescent="0.25">
      <c r="A66" t="s">
        <v>102</v>
      </c>
      <c r="B66" s="16">
        <v>45696</v>
      </c>
      <c r="C66" t="s">
        <v>25</v>
      </c>
      <c r="D66" t="s">
        <v>22</v>
      </c>
      <c r="E66" t="s">
        <v>13</v>
      </c>
      <c r="F66" t="s">
        <v>42</v>
      </c>
      <c r="G66" t="s">
        <v>20</v>
      </c>
      <c r="H66" s="2">
        <v>91.81</v>
      </c>
      <c r="I66">
        <v>5</v>
      </c>
      <c r="J66" s="2">
        <v>459.05</v>
      </c>
    </row>
    <row r="67" spans="1:10" x14ac:dyDescent="0.25">
      <c r="A67" t="s">
        <v>103</v>
      </c>
      <c r="B67" s="16">
        <v>45733</v>
      </c>
      <c r="C67" t="s">
        <v>30</v>
      </c>
      <c r="D67" t="s">
        <v>22</v>
      </c>
      <c r="E67" t="s">
        <v>13</v>
      </c>
      <c r="F67" t="s">
        <v>32</v>
      </c>
      <c r="G67" t="s">
        <v>15</v>
      </c>
      <c r="H67" s="2">
        <v>149.38999999999999</v>
      </c>
      <c r="I67">
        <v>14</v>
      </c>
      <c r="J67" s="2">
        <v>2091.46</v>
      </c>
    </row>
    <row r="68" spans="1:10" x14ac:dyDescent="0.25">
      <c r="A68" t="s">
        <v>104</v>
      </c>
      <c r="B68" s="16">
        <v>45841</v>
      </c>
      <c r="C68" t="s">
        <v>17</v>
      </c>
      <c r="D68" t="s">
        <v>26</v>
      </c>
      <c r="E68" t="s">
        <v>27</v>
      </c>
      <c r="F68" t="s">
        <v>19</v>
      </c>
      <c r="G68" t="s">
        <v>36</v>
      </c>
      <c r="H68" s="2">
        <v>61</v>
      </c>
      <c r="I68">
        <v>7</v>
      </c>
      <c r="J68" s="2">
        <v>427</v>
      </c>
    </row>
    <row r="69" spans="1:10" x14ac:dyDescent="0.25">
      <c r="A69" t="s">
        <v>105</v>
      </c>
      <c r="B69" s="16">
        <v>45944</v>
      </c>
      <c r="C69" t="s">
        <v>25</v>
      </c>
      <c r="D69" t="s">
        <v>12</v>
      </c>
      <c r="E69" t="s">
        <v>23</v>
      </c>
      <c r="F69" t="s">
        <v>14</v>
      </c>
      <c r="G69" t="s">
        <v>15</v>
      </c>
      <c r="H69" s="2">
        <v>206.48</v>
      </c>
      <c r="I69">
        <v>14</v>
      </c>
      <c r="J69" s="2">
        <v>2890.72</v>
      </c>
    </row>
    <row r="70" spans="1:10" x14ac:dyDescent="0.25">
      <c r="A70" t="s">
        <v>106</v>
      </c>
      <c r="B70" s="16">
        <v>45748</v>
      </c>
      <c r="C70" t="s">
        <v>11</v>
      </c>
      <c r="D70" t="s">
        <v>26</v>
      </c>
      <c r="E70" t="s">
        <v>27</v>
      </c>
      <c r="F70" t="s">
        <v>32</v>
      </c>
      <c r="G70" t="s">
        <v>36</v>
      </c>
      <c r="H70" s="2">
        <v>46.4</v>
      </c>
      <c r="I70">
        <v>14</v>
      </c>
      <c r="J70" s="2">
        <v>649.6</v>
      </c>
    </row>
    <row r="71" spans="1:10" x14ac:dyDescent="0.25">
      <c r="A71" t="s">
        <v>107</v>
      </c>
      <c r="B71" s="16">
        <v>46000</v>
      </c>
      <c r="C71" t="s">
        <v>34</v>
      </c>
      <c r="D71" t="s">
        <v>26</v>
      </c>
      <c r="E71" t="s">
        <v>27</v>
      </c>
      <c r="F71" t="s">
        <v>19</v>
      </c>
      <c r="G71" t="s">
        <v>36</v>
      </c>
      <c r="H71" s="2">
        <v>247.12</v>
      </c>
      <c r="I71">
        <v>8</v>
      </c>
      <c r="J71" s="2">
        <v>1976.96</v>
      </c>
    </row>
    <row r="72" spans="1:10" x14ac:dyDescent="0.25">
      <c r="A72" t="s">
        <v>108</v>
      </c>
      <c r="B72" s="16">
        <v>45677</v>
      </c>
      <c r="C72" t="s">
        <v>30</v>
      </c>
      <c r="D72" t="s">
        <v>26</v>
      </c>
      <c r="E72" t="s">
        <v>41</v>
      </c>
      <c r="F72" t="s">
        <v>32</v>
      </c>
      <c r="G72" t="s">
        <v>36</v>
      </c>
      <c r="H72" s="2">
        <v>199.89</v>
      </c>
      <c r="I72">
        <v>16</v>
      </c>
      <c r="J72" s="2">
        <v>3198.24</v>
      </c>
    </row>
    <row r="73" spans="1:10" x14ac:dyDescent="0.25">
      <c r="A73" t="s">
        <v>109</v>
      </c>
      <c r="B73" s="16">
        <v>45774</v>
      </c>
      <c r="C73" t="s">
        <v>11</v>
      </c>
      <c r="D73" t="s">
        <v>12</v>
      </c>
      <c r="E73" t="s">
        <v>23</v>
      </c>
      <c r="F73" t="s">
        <v>61</v>
      </c>
      <c r="G73" t="s">
        <v>36</v>
      </c>
      <c r="H73" s="2">
        <v>73.72</v>
      </c>
      <c r="I73">
        <v>8</v>
      </c>
      <c r="J73" s="2">
        <v>589.76</v>
      </c>
    </row>
    <row r="74" spans="1:10" x14ac:dyDescent="0.25">
      <c r="A74" t="s">
        <v>110</v>
      </c>
      <c r="B74" s="16">
        <v>45800</v>
      </c>
      <c r="C74" t="s">
        <v>34</v>
      </c>
      <c r="D74" t="s">
        <v>35</v>
      </c>
      <c r="E74" t="s">
        <v>27</v>
      </c>
      <c r="F74" t="s">
        <v>42</v>
      </c>
      <c r="G74" t="s">
        <v>36</v>
      </c>
      <c r="H74" s="2">
        <v>31.21</v>
      </c>
      <c r="I74">
        <v>3</v>
      </c>
      <c r="J74" s="2">
        <v>93.63</v>
      </c>
    </row>
    <row r="75" spans="1:10" x14ac:dyDescent="0.25">
      <c r="A75" t="s">
        <v>111</v>
      </c>
      <c r="B75" s="16">
        <v>46005</v>
      </c>
      <c r="C75" t="s">
        <v>34</v>
      </c>
      <c r="D75" t="s">
        <v>22</v>
      </c>
      <c r="E75" t="s">
        <v>45</v>
      </c>
      <c r="F75" t="s">
        <v>32</v>
      </c>
      <c r="G75" t="s">
        <v>15</v>
      </c>
      <c r="H75" s="2">
        <v>209.4</v>
      </c>
      <c r="I75">
        <v>18</v>
      </c>
      <c r="J75" s="2">
        <v>3769.2</v>
      </c>
    </row>
    <row r="76" spans="1:10" x14ac:dyDescent="0.25">
      <c r="A76" t="s">
        <v>112</v>
      </c>
      <c r="B76" s="16">
        <v>45955</v>
      </c>
      <c r="C76" t="s">
        <v>11</v>
      </c>
      <c r="D76" t="s">
        <v>22</v>
      </c>
      <c r="E76" t="s">
        <v>18</v>
      </c>
      <c r="F76" t="s">
        <v>61</v>
      </c>
      <c r="G76" t="s">
        <v>36</v>
      </c>
      <c r="H76" s="2">
        <v>185.51</v>
      </c>
      <c r="I76">
        <v>9</v>
      </c>
      <c r="J76" s="2">
        <v>1669.59</v>
      </c>
    </row>
    <row r="77" spans="1:10" x14ac:dyDescent="0.25">
      <c r="A77" t="s">
        <v>113</v>
      </c>
      <c r="B77" s="16">
        <v>45818</v>
      </c>
      <c r="C77" t="s">
        <v>25</v>
      </c>
      <c r="D77" t="s">
        <v>55</v>
      </c>
      <c r="E77" t="s">
        <v>45</v>
      </c>
      <c r="F77" t="s">
        <v>61</v>
      </c>
      <c r="G77" t="s">
        <v>20</v>
      </c>
      <c r="H77" s="2">
        <v>190.38</v>
      </c>
      <c r="I77">
        <v>14</v>
      </c>
      <c r="J77" s="2">
        <v>2665.32</v>
      </c>
    </row>
    <row r="78" spans="1:10" x14ac:dyDescent="0.25">
      <c r="A78" t="s">
        <v>114</v>
      </c>
      <c r="B78" s="16">
        <v>45755</v>
      </c>
      <c r="C78" t="s">
        <v>11</v>
      </c>
      <c r="D78" t="s">
        <v>12</v>
      </c>
      <c r="E78" t="s">
        <v>41</v>
      </c>
      <c r="F78" t="s">
        <v>19</v>
      </c>
      <c r="G78" t="s">
        <v>20</v>
      </c>
      <c r="H78" s="2">
        <v>199.68</v>
      </c>
      <c r="I78">
        <v>9</v>
      </c>
      <c r="J78" s="2">
        <v>1797.12</v>
      </c>
    </row>
    <row r="79" spans="1:10" x14ac:dyDescent="0.25">
      <c r="A79" t="s">
        <v>115</v>
      </c>
      <c r="B79" s="16">
        <v>45933</v>
      </c>
      <c r="C79" t="s">
        <v>34</v>
      </c>
      <c r="D79" t="s">
        <v>31</v>
      </c>
      <c r="E79" t="s">
        <v>45</v>
      </c>
      <c r="F79" t="s">
        <v>28</v>
      </c>
      <c r="G79" t="s">
        <v>36</v>
      </c>
      <c r="H79" s="2">
        <v>46.29</v>
      </c>
      <c r="I79">
        <v>7</v>
      </c>
      <c r="J79" s="2">
        <v>324.02999999999997</v>
      </c>
    </row>
    <row r="80" spans="1:10" x14ac:dyDescent="0.25">
      <c r="A80" t="s">
        <v>116</v>
      </c>
      <c r="B80" s="16">
        <v>45977</v>
      </c>
      <c r="C80" t="s">
        <v>17</v>
      </c>
      <c r="D80" t="s">
        <v>22</v>
      </c>
      <c r="E80" t="s">
        <v>27</v>
      </c>
      <c r="F80" t="s">
        <v>32</v>
      </c>
      <c r="G80" t="s">
        <v>20</v>
      </c>
      <c r="H80" s="2">
        <v>108.86</v>
      </c>
      <c r="I80">
        <v>11</v>
      </c>
      <c r="J80" s="2">
        <v>1197.46</v>
      </c>
    </row>
    <row r="81" spans="1:10" x14ac:dyDescent="0.25">
      <c r="A81" t="s">
        <v>117</v>
      </c>
      <c r="B81" s="16">
        <v>45816</v>
      </c>
      <c r="C81" t="s">
        <v>34</v>
      </c>
      <c r="D81" t="s">
        <v>31</v>
      </c>
      <c r="E81" t="s">
        <v>27</v>
      </c>
      <c r="F81" t="s">
        <v>32</v>
      </c>
      <c r="G81" t="s">
        <v>20</v>
      </c>
      <c r="H81" s="2">
        <v>55.49</v>
      </c>
      <c r="I81">
        <v>14</v>
      </c>
      <c r="J81" s="2">
        <v>776.86</v>
      </c>
    </row>
    <row r="82" spans="1:10" x14ac:dyDescent="0.25">
      <c r="A82" t="s">
        <v>118</v>
      </c>
      <c r="B82" s="16">
        <v>45723</v>
      </c>
      <c r="C82" t="s">
        <v>38</v>
      </c>
      <c r="D82" t="s">
        <v>12</v>
      </c>
      <c r="E82" t="s">
        <v>41</v>
      </c>
      <c r="F82" t="s">
        <v>28</v>
      </c>
      <c r="G82" t="s">
        <v>20</v>
      </c>
      <c r="H82" s="2">
        <v>219.88</v>
      </c>
      <c r="I82">
        <v>7</v>
      </c>
      <c r="J82" s="2">
        <v>1539.16</v>
      </c>
    </row>
    <row r="83" spans="1:10" x14ac:dyDescent="0.25">
      <c r="A83" t="s">
        <v>119</v>
      </c>
      <c r="B83" s="16">
        <v>45747</v>
      </c>
      <c r="C83" t="s">
        <v>25</v>
      </c>
      <c r="D83" t="s">
        <v>35</v>
      </c>
      <c r="E83" t="s">
        <v>41</v>
      </c>
      <c r="F83" t="s">
        <v>42</v>
      </c>
      <c r="G83" t="s">
        <v>15</v>
      </c>
      <c r="H83" s="2">
        <v>167.13</v>
      </c>
      <c r="I83">
        <v>20</v>
      </c>
      <c r="J83" s="2">
        <v>3342.6</v>
      </c>
    </row>
    <row r="84" spans="1:10" x14ac:dyDescent="0.25">
      <c r="A84" t="s">
        <v>120</v>
      </c>
      <c r="B84" s="16">
        <v>45813</v>
      </c>
      <c r="C84" t="s">
        <v>30</v>
      </c>
      <c r="D84" t="s">
        <v>31</v>
      </c>
      <c r="E84" t="s">
        <v>18</v>
      </c>
      <c r="F84" t="s">
        <v>42</v>
      </c>
      <c r="G84" t="s">
        <v>20</v>
      </c>
      <c r="H84" s="2">
        <v>102.8</v>
      </c>
      <c r="I84">
        <v>10</v>
      </c>
      <c r="J84" s="2">
        <v>1028</v>
      </c>
    </row>
    <row r="85" spans="1:10" x14ac:dyDescent="0.25">
      <c r="A85" t="s">
        <v>121</v>
      </c>
      <c r="B85" s="16">
        <v>45822</v>
      </c>
      <c r="C85" t="s">
        <v>38</v>
      </c>
      <c r="D85" t="s">
        <v>31</v>
      </c>
      <c r="E85" t="s">
        <v>27</v>
      </c>
      <c r="F85" t="s">
        <v>14</v>
      </c>
      <c r="G85" t="s">
        <v>20</v>
      </c>
      <c r="H85" s="2">
        <v>43.98</v>
      </c>
      <c r="I85">
        <v>15</v>
      </c>
      <c r="J85" s="2">
        <v>659.7</v>
      </c>
    </row>
    <row r="86" spans="1:10" x14ac:dyDescent="0.25">
      <c r="A86" t="s">
        <v>122</v>
      </c>
      <c r="B86" s="16">
        <v>45900</v>
      </c>
      <c r="C86" t="s">
        <v>17</v>
      </c>
      <c r="D86" t="s">
        <v>22</v>
      </c>
      <c r="E86" t="s">
        <v>13</v>
      </c>
      <c r="F86" t="s">
        <v>42</v>
      </c>
      <c r="G86" t="s">
        <v>20</v>
      </c>
      <c r="H86" s="2">
        <v>98.42</v>
      </c>
      <c r="I86">
        <v>6</v>
      </c>
      <c r="J86" s="2">
        <v>590.52</v>
      </c>
    </row>
    <row r="87" spans="1:10" x14ac:dyDescent="0.25">
      <c r="A87" t="s">
        <v>123</v>
      </c>
      <c r="B87" s="16">
        <v>45982</v>
      </c>
      <c r="C87" t="s">
        <v>34</v>
      </c>
      <c r="D87" t="s">
        <v>22</v>
      </c>
      <c r="E87" t="s">
        <v>23</v>
      </c>
      <c r="F87" t="s">
        <v>28</v>
      </c>
      <c r="G87" t="s">
        <v>36</v>
      </c>
      <c r="H87" s="2">
        <v>101.54</v>
      </c>
      <c r="I87">
        <v>20</v>
      </c>
      <c r="J87" s="2">
        <v>2030.8</v>
      </c>
    </row>
    <row r="88" spans="1:10" x14ac:dyDescent="0.25">
      <c r="A88" t="s">
        <v>124</v>
      </c>
      <c r="B88" s="16">
        <v>45773</v>
      </c>
      <c r="C88" t="s">
        <v>30</v>
      </c>
      <c r="D88" t="s">
        <v>22</v>
      </c>
      <c r="E88" t="s">
        <v>45</v>
      </c>
      <c r="F88" t="s">
        <v>14</v>
      </c>
      <c r="G88" t="s">
        <v>36</v>
      </c>
      <c r="H88" s="2">
        <v>190.51</v>
      </c>
      <c r="I88">
        <v>7</v>
      </c>
      <c r="J88" s="2">
        <v>1333.57</v>
      </c>
    </row>
    <row r="89" spans="1:10" x14ac:dyDescent="0.25">
      <c r="A89" t="s">
        <v>125</v>
      </c>
      <c r="B89" s="16">
        <v>45970</v>
      </c>
      <c r="C89" t="s">
        <v>38</v>
      </c>
      <c r="D89" t="s">
        <v>31</v>
      </c>
      <c r="E89" t="s">
        <v>27</v>
      </c>
      <c r="F89" t="s">
        <v>42</v>
      </c>
      <c r="G89" t="s">
        <v>15</v>
      </c>
      <c r="H89" s="2">
        <v>170.26</v>
      </c>
      <c r="I89">
        <v>3</v>
      </c>
      <c r="J89" s="2">
        <v>510.78</v>
      </c>
    </row>
    <row r="90" spans="1:10" x14ac:dyDescent="0.25">
      <c r="A90" t="s">
        <v>126</v>
      </c>
      <c r="B90" s="16">
        <v>46014</v>
      </c>
      <c r="C90" t="s">
        <v>38</v>
      </c>
      <c r="D90" t="s">
        <v>31</v>
      </c>
      <c r="E90" t="s">
        <v>23</v>
      </c>
      <c r="F90" t="s">
        <v>14</v>
      </c>
      <c r="G90" t="s">
        <v>20</v>
      </c>
      <c r="H90" s="2">
        <v>225.19</v>
      </c>
      <c r="I90">
        <v>13</v>
      </c>
      <c r="J90" s="2">
        <v>2927.47</v>
      </c>
    </row>
    <row r="91" spans="1:10" x14ac:dyDescent="0.25">
      <c r="A91" t="s">
        <v>127</v>
      </c>
      <c r="B91" s="16">
        <v>46010</v>
      </c>
      <c r="C91" t="s">
        <v>11</v>
      </c>
      <c r="D91" t="s">
        <v>31</v>
      </c>
      <c r="E91" t="s">
        <v>23</v>
      </c>
      <c r="F91" t="s">
        <v>14</v>
      </c>
      <c r="G91" t="s">
        <v>20</v>
      </c>
      <c r="H91" s="2">
        <v>133.88999999999999</v>
      </c>
      <c r="I91">
        <v>1</v>
      </c>
      <c r="J91" s="2">
        <v>133.88999999999999</v>
      </c>
    </row>
    <row r="92" spans="1:10" x14ac:dyDescent="0.25">
      <c r="A92" t="s">
        <v>128</v>
      </c>
      <c r="B92" s="16">
        <v>45923</v>
      </c>
      <c r="C92" t="s">
        <v>11</v>
      </c>
      <c r="D92" t="s">
        <v>55</v>
      </c>
      <c r="E92" t="s">
        <v>23</v>
      </c>
      <c r="F92" t="s">
        <v>39</v>
      </c>
      <c r="G92" t="s">
        <v>15</v>
      </c>
      <c r="H92" s="2">
        <v>56.31</v>
      </c>
      <c r="I92">
        <v>15</v>
      </c>
      <c r="J92" s="2">
        <v>844.65</v>
      </c>
    </row>
    <row r="93" spans="1:10" x14ac:dyDescent="0.25">
      <c r="A93" t="s">
        <v>129</v>
      </c>
      <c r="B93" s="16">
        <v>45891</v>
      </c>
      <c r="C93" t="s">
        <v>38</v>
      </c>
      <c r="D93" t="s">
        <v>12</v>
      </c>
      <c r="E93" t="s">
        <v>18</v>
      </c>
      <c r="F93" t="s">
        <v>42</v>
      </c>
      <c r="G93" t="s">
        <v>20</v>
      </c>
      <c r="H93" s="2">
        <v>186.91</v>
      </c>
      <c r="I93">
        <v>5</v>
      </c>
      <c r="J93" s="2">
        <v>934.55</v>
      </c>
    </row>
    <row r="94" spans="1:10" x14ac:dyDescent="0.25">
      <c r="A94" t="s">
        <v>130</v>
      </c>
      <c r="B94" s="16">
        <v>45820</v>
      </c>
      <c r="C94" t="s">
        <v>25</v>
      </c>
      <c r="D94" t="s">
        <v>12</v>
      </c>
      <c r="E94" t="s">
        <v>18</v>
      </c>
      <c r="F94" t="s">
        <v>61</v>
      </c>
      <c r="G94" t="s">
        <v>20</v>
      </c>
      <c r="H94" s="2">
        <v>197.37</v>
      </c>
      <c r="I94">
        <v>15</v>
      </c>
      <c r="J94" s="2">
        <v>2960.55</v>
      </c>
    </row>
    <row r="95" spans="1:10" x14ac:dyDescent="0.25">
      <c r="A95" t="s">
        <v>131</v>
      </c>
      <c r="B95" s="16">
        <v>45886</v>
      </c>
      <c r="C95" t="s">
        <v>17</v>
      </c>
      <c r="D95" t="s">
        <v>31</v>
      </c>
      <c r="E95" t="s">
        <v>41</v>
      </c>
      <c r="F95" t="s">
        <v>32</v>
      </c>
      <c r="G95" t="s">
        <v>15</v>
      </c>
      <c r="H95" s="2">
        <v>153.47999999999999</v>
      </c>
      <c r="I95">
        <v>6</v>
      </c>
      <c r="J95" s="2">
        <v>920.88</v>
      </c>
    </row>
    <row r="96" spans="1:10" x14ac:dyDescent="0.25">
      <c r="A96" t="s">
        <v>132</v>
      </c>
      <c r="B96" s="16">
        <v>45984</v>
      </c>
      <c r="C96" t="s">
        <v>25</v>
      </c>
      <c r="D96" t="s">
        <v>31</v>
      </c>
      <c r="E96" t="s">
        <v>27</v>
      </c>
      <c r="F96" t="s">
        <v>14</v>
      </c>
      <c r="G96" t="s">
        <v>36</v>
      </c>
      <c r="H96" s="2">
        <v>199.61</v>
      </c>
      <c r="I96">
        <v>9</v>
      </c>
      <c r="J96" s="2">
        <v>1796.49</v>
      </c>
    </row>
    <row r="97" spans="1:10" x14ac:dyDescent="0.25">
      <c r="A97" t="s">
        <v>133</v>
      </c>
      <c r="B97" s="16">
        <v>45883</v>
      </c>
      <c r="C97" t="s">
        <v>17</v>
      </c>
      <c r="D97" t="s">
        <v>35</v>
      </c>
      <c r="E97" t="s">
        <v>23</v>
      </c>
      <c r="F97" t="s">
        <v>32</v>
      </c>
      <c r="G97" t="s">
        <v>36</v>
      </c>
      <c r="H97" s="2">
        <v>138.63999999999999</v>
      </c>
      <c r="I97">
        <v>3</v>
      </c>
      <c r="J97" s="2">
        <v>415.92</v>
      </c>
    </row>
    <row r="98" spans="1:10" x14ac:dyDescent="0.25">
      <c r="A98" t="s">
        <v>134</v>
      </c>
      <c r="B98" s="16">
        <v>45821</v>
      </c>
      <c r="C98" t="s">
        <v>11</v>
      </c>
      <c r="D98" t="s">
        <v>26</v>
      </c>
      <c r="E98" t="s">
        <v>23</v>
      </c>
      <c r="F98" t="s">
        <v>14</v>
      </c>
      <c r="G98" t="s">
        <v>36</v>
      </c>
      <c r="H98" s="2">
        <v>145</v>
      </c>
      <c r="I98">
        <v>18</v>
      </c>
      <c r="J98" s="2">
        <v>2610</v>
      </c>
    </row>
    <row r="99" spans="1:10" x14ac:dyDescent="0.25">
      <c r="A99" t="s">
        <v>135</v>
      </c>
      <c r="B99" s="16">
        <v>46013</v>
      </c>
      <c r="C99" t="s">
        <v>17</v>
      </c>
      <c r="D99" t="s">
        <v>26</v>
      </c>
      <c r="E99" t="s">
        <v>45</v>
      </c>
      <c r="F99" t="s">
        <v>61</v>
      </c>
      <c r="G99" t="s">
        <v>36</v>
      </c>
      <c r="H99" s="2">
        <v>124.06</v>
      </c>
      <c r="I99">
        <v>5</v>
      </c>
      <c r="J99" s="2">
        <v>620.29999999999995</v>
      </c>
    </row>
    <row r="100" spans="1:10" x14ac:dyDescent="0.25">
      <c r="A100" t="s">
        <v>136</v>
      </c>
      <c r="B100" s="16">
        <v>45827</v>
      </c>
      <c r="C100" t="s">
        <v>38</v>
      </c>
      <c r="D100" t="s">
        <v>31</v>
      </c>
      <c r="E100" t="s">
        <v>45</v>
      </c>
      <c r="F100" t="s">
        <v>14</v>
      </c>
      <c r="G100" t="s">
        <v>36</v>
      </c>
      <c r="H100" s="2">
        <v>35.590000000000003</v>
      </c>
      <c r="I100">
        <v>18</v>
      </c>
      <c r="J100" s="2">
        <v>640.62</v>
      </c>
    </row>
    <row r="101" spans="1:10" x14ac:dyDescent="0.25">
      <c r="A101" t="s">
        <v>137</v>
      </c>
      <c r="B101" s="16">
        <v>45857</v>
      </c>
      <c r="C101" t="s">
        <v>17</v>
      </c>
      <c r="D101" t="s">
        <v>22</v>
      </c>
      <c r="E101" t="s">
        <v>18</v>
      </c>
      <c r="F101" t="s">
        <v>61</v>
      </c>
      <c r="G101" t="s">
        <v>36</v>
      </c>
      <c r="H101" s="2">
        <v>53.74</v>
      </c>
      <c r="I101">
        <v>19</v>
      </c>
      <c r="J101" s="2">
        <v>1021.06</v>
      </c>
    </row>
    <row r="102" spans="1:10" x14ac:dyDescent="0.25">
      <c r="A102" t="s">
        <v>138</v>
      </c>
      <c r="B102" s="16">
        <v>45661</v>
      </c>
      <c r="C102" t="s">
        <v>34</v>
      </c>
      <c r="D102" t="s">
        <v>31</v>
      </c>
      <c r="E102" t="s">
        <v>41</v>
      </c>
      <c r="F102" t="s">
        <v>42</v>
      </c>
      <c r="G102" t="s">
        <v>20</v>
      </c>
      <c r="H102" s="2">
        <v>36.909999999999997</v>
      </c>
      <c r="I102">
        <v>12</v>
      </c>
      <c r="J102" s="2">
        <v>442.92</v>
      </c>
    </row>
    <row r="103" spans="1:10" x14ac:dyDescent="0.25">
      <c r="A103" t="s">
        <v>139</v>
      </c>
      <c r="B103" s="16">
        <v>45937</v>
      </c>
      <c r="C103" t="s">
        <v>30</v>
      </c>
      <c r="D103" t="s">
        <v>31</v>
      </c>
      <c r="E103" t="s">
        <v>23</v>
      </c>
      <c r="F103" t="s">
        <v>32</v>
      </c>
      <c r="G103" t="s">
        <v>36</v>
      </c>
      <c r="H103" s="2">
        <v>170.01</v>
      </c>
      <c r="I103">
        <v>20</v>
      </c>
      <c r="J103" s="2">
        <v>3400.2</v>
      </c>
    </row>
    <row r="104" spans="1:10" x14ac:dyDescent="0.25">
      <c r="A104" t="s">
        <v>140</v>
      </c>
      <c r="B104" s="16">
        <v>45906</v>
      </c>
      <c r="C104" t="s">
        <v>38</v>
      </c>
      <c r="D104" t="s">
        <v>35</v>
      </c>
      <c r="E104" t="s">
        <v>27</v>
      </c>
      <c r="F104" t="s">
        <v>28</v>
      </c>
      <c r="G104" t="s">
        <v>36</v>
      </c>
      <c r="H104" s="2">
        <v>99.16</v>
      </c>
      <c r="I104">
        <v>1</v>
      </c>
      <c r="J104" s="2">
        <v>99.16</v>
      </c>
    </row>
    <row r="105" spans="1:10" x14ac:dyDescent="0.25">
      <c r="A105" t="s">
        <v>141</v>
      </c>
      <c r="B105" s="16">
        <v>45742</v>
      </c>
      <c r="C105" t="s">
        <v>30</v>
      </c>
      <c r="D105" t="s">
        <v>55</v>
      </c>
      <c r="E105" t="s">
        <v>18</v>
      </c>
      <c r="F105" t="s">
        <v>19</v>
      </c>
      <c r="G105" t="s">
        <v>36</v>
      </c>
      <c r="H105" s="2">
        <v>141.88999999999999</v>
      </c>
      <c r="I105">
        <v>15</v>
      </c>
      <c r="J105" s="2">
        <v>2128.35</v>
      </c>
    </row>
    <row r="106" spans="1:10" x14ac:dyDescent="0.25">
      <c r="A106" t="s">
        <v>142</v>
      </c>
      <c r="B106" s="16">
        <v>45961</v>
      </c>
      <c r="C106" t="s">
        <v>17</v>
      </c>
      <c r="D106" t="s">
        <v>22</v>
      </c>
      <c r="E106" t="s">
        <v>45</v>
      </c>
      <c r="F106" t="s">
        <v>28</v>
      </c>
      <c r="G106" t="s">
        <v>36</v>
      </c>
      <c r="H106" s="2">
        <v>229.66</v>
      </c>
      <c r="I106">
        <v>19</v>
      </c>
      <c r="J106" s="2">
        <v>4363.54</v>
      </c>
    </row>
    <row r="107" spans="1:10" x14ac:dyDescent="0.25">
      <c r="A107" t="s">
        <v>143</v>
      </c>
      <c r="B107" s="16">
        <v>45727</v>
      </c>
      <c r="C107" t="s">
        <v>30</v>
      </c>
      <c r="D107" t="s">
        <v>22</v>
      </c>
      <c r="E107" t="s">
        <v>13</v>
      </c>
      <c r="F107" t="s">
        <v>61</v>
      </c>
      <c r="G107" t="s">
        <v>36</v>
      </c>
      <c r="H107" s="2">
        <v>84.84</v>
      </c>
      <c r="I107">
        <v>15</v>
      </c>
      <c r="J107" s="2">
        <v>1272.5999999999999</v>
      </c>
    </row>
    <row r="108" spans="1:10" x14ac:dyDescent="0.25">
      <c r="A108" t="s">
        <v>144</v>
      </c>
      <c r="B108" s="16">
        <v>45766</v>
      </c>
      <c r="C108" t="s">
        <v>34</v>
      </c>
      <c r="D108" t="s">
        <v>35</v>
      </c>
      <c r="E108" t="s">
        <v>41</v>
      </c>
      <c r="F108" t="s">
        <v>32</v>
      </c>
      <c r="G108" t="s">
        <v>36</v>
      </c>
      <c r="H108" s="2">
        <v>120.28</v>
      </c>
      <c r="I108">
        <v>15</v>
      </c>
      <c r="J108" s="2">
        <v>1804.2</v>
      </c>
    </row>
    <row r="109" spans="1:10" x14ac:dyDescent="0.25">
      <c r="A109" t="s">
        <v>145</v>
      </c>
      <c r="B109" s="16">
        <v>45787</v>
      </c>
      <c r="C109" t="s">
        <v>38</v>
      </c>
      <c r="D109" t="s">
        <v>22</v>
      </c>
      <c r="E109" t="s">
        <v>27</v>
      </c>
      <c r="F109" t="s">
        <v>42</v>
      </c>
      <c r="G109" t="s">
        <v>15</v>
      </c>
      <c r="H109" s="2">
        <v>196.22</v>
      </c>
      <c r="I109">
        <v>3</v>
      </c>
      <c r="J109" s="2">
        <v>588.66</v>
      </c>
    </row>
    <row r="110" spans="1:10" x14ac:dyDescent="0.25">
      <c r="A110" t="s">
        <v>146</v>
      </c>
      <c r="B110" s="16">
        <v>45837</v>
      </c>
      <c r="C110" t="s">
        <v>17</v>
      </c>
      <c r="D110" t="s">
        <v>22</v>
      </c>
      <c r="E110" t="s">
        <v>27</v>
      </c>
      <c r="F110" t="s">
        <v>19</v>
      </c>
      <c r="G110" t="s">
        <v>15</v>
      </c>
      <c r="H110" s="2">
        <v>80.34</v>
      </c>
      <c r="I110">
        <v>8</v>
      </c>
      <c r="J110" s="2">
        <v>642.72</v>
      </c>
    </row>
    <row r="111" spans="1:10" x14ac:dyDescent="0.25">
      <c r="A111" t="s">
        <v>147</v>
      </c>
      <c r="B111" s="16">
        <v>45784</v>
      </c>
      <c r="C111" t="s">
        <v>11</v>
      </c>
      <c r="D111" t="s">
        <v>55</v>
      </c>
      <c r="E111" t="s">
        <v>23</v>
      </c>
      <c r="F111" t="s">
        <v>14</v>
      </c>
      <c r="G111" t="s">
        <v>15</v>
      </c>
      <c r="H111" s="2">
        <v>46.94</v>
      </c>
      <c r="I111">
        <v>7</v>
      </c>
      <c r="J111" s="2">
        <v>328.58</v>
      </c>
    </row>
    <row r="112" spans="1:10" x14ac:dyDescent="0.25">
      <c r="A112" t="s">
        <v>148</v>
      </c>
      <c r="B112" s="16">
        <v>45900</v>
      </c>
      <c r="C112" t="s">
        <v>25</v>
      </c>
      <c r="D112" t="s">
        <v>26</v>
      </c>
      <c r="E112" t="s">
        <v>41</v>
      </c>
      <c r="F112" t="s">
        <v>28</v>
      </c>
      <c r="G112" t="s">
        <v>36</v>
      </c>
      <c r="H112" s="2">
        <v>93.75</v>
      </c>
      <c r="I112">
        <v>4</v>
      </c>
      <c r="J112" s="2">
        <v>375</v>
      </c>
    </row>
    <row r="113" spans="1:10" x14ac:dyDescent="0.25">
      <c r="A113" t="s">
        <v>149</v>
      </c>
      <c r="B113" s="16">
        <v>45846</v>
      </c>
      <c r="C113" t="s">
        <v>25</v>
      </c>
      <c r="D113" t="s">
        <v>55</v>
      </c>
      <c r="E113" t="s">
        <v>27</v>
      </c>
      <c r="F113" t="s">
        <v>28</v>
      </c>
      <c r="G113" t="s">
        <v>15</v>
      </c>
      <c r="H113" s="2">
        <v>65.47</v>
      </c>
      <c r="I113">
        <v>6</v>
      </c>
      <c r="J113" s="2">
        <v>392.82</v>
      </c>
    </row>
    <row r="114" spans="1:10" x14ac:dyDescent="0.25">
      <c r="A114" t="s">
        <v>150</v>
      </c>
      <c r="B114" s="16">
        <v>45741</v>
      </c>
      <c r="C114" t="s">
        <v>11</v>
      </c>
      <c r="D114" t="s">
        <v>55</v>
      </c>
      <c r="E114" t="s">
        <v>45</v>
      </c>
      <c r="F114" t="s">
        <v>32</v>
      </c>
      <c r="G114" t="s">
        <v>20</v>
      </c>
      <c r="H114" s="2">
        <v>234.53</v>
      </c>
      <c r="I114">
        <v>10</v>
      </c>
      <c r="J114" s="2">
        <v>2345.3000000000002</v>
      </c>
    </row>
    <row r="115" spans="1:10" x14ac:dyDescent="0.25">
      <c r="A115" t="s">
        <v>151</v>
      </c>
      <c r="B115" s="16">
        <v>46004</v>
      </c>
      <c r="C115" t="s">
        <v>38</v>
      </c>
      <c r="D115" t="s">
        <v>12</v>
      </c>
      <c r="E115" t="s">
        <v>23</v>
      </c>
      <c r="F115" t="s">
        <v>19</v>
      </c>
      <c r="G115" t="s">
        <v>20</v>
      </c>
      <c r="H115" s="2">
        <v>207.79</v>
      </c>
      <c r="I115">
        <v>13</v>
      </c>
      <c r="J115" s="2">
        <v>2701.27</v>
      </c>
    </row>
    <row r="116" spans="1:10" x14ac:dyDescent="0.25">
      <c r="A116" t="s">
        <v>152</v>
      </c>
      <c r="B116" s="16">
        <v>46011</v>
      </c>
      <c r="C116" t="s">
        <v>11</v>
      </c>
      <c r="D116" t="s">
        <v>12</v>
      </c>
      <c r="E116" t="s">
        <v>13</v>
      </c>
      <c r="F116" t="s">
        <v>39</v>
      </c>
      <c r="G116" t="s">
        <v>20</v>
      </c>
      <c r="H116" s="2">
        <v>169.35</v>
      </c>
      <c r="I116">
        <v>8</v>
      </c>
      <c r="J116" s="2">
        <v>1354.8</v>
      </c>
    </row>
    <row r="117" spans="1:10" x14ac:dyDescent="0.25">
      <c r="A117" t="s">
        <v>153</v>
      </c>
      <c r="B117" s="16">
        <v>45965</v>
      </c>
      <c r="C117" t="s">
        <v>25</v>
      </c>
      <c r="D117" t="s">
        <v>22</v>
      </c>
      <c r="E117" t="s">
        <v>13</v>
      </c>
      <c r="F117" t="s">
        <v>42</v>
      </c>
      <c r="G117" t="s">
        <v>36</v>
      </c>
      <c r="H117" s="2">
        <v>221.72</v>
      </c>
      <c r="I117">
        <v>4</v>
      </c>
      <c r="J117" s="2">
        <v>886.88</v>
      </c>
    </row>
    <row r="118" spans="1:10" x14ac:dyDescent="0.25">
      <c r="A118" t="s">
        <v>154</v>
      </c>
      <c r="B118" s="16">
        <v>45996</v>
      </c>
      <c r="C118" t="s">
        <v>11</v>
      </c>
      <c r="D118" t="s">
        <v>55</v>
      </c>
      <c r="E118" t="s">
        <v>27</v>
      </c>
      <c r="F118" t="s">
        <v>32</v>
      </c>
      <c r="G118" t="s">
        <v>15</v>
      </c>
      <c r="H118" s="2">
        <v>206.81</v>
      </c>
      <c r="I118">
        <v>12</v>
      </c>
      <c r="J118" s="2">
        <v>2481.7199999999998</v>
      </c>
    </row>
    <row r="119" spans="1:10" x14ac:dyDescent="0.25">
      <c r="A119" t="s">
        <v>155</v>
      </c>
      <c r="B119" s="16">
        <v>45873</v>
      </c>
      <c r="C119" t="s">
        <v>11</v>
      </c>
      <c r="D119" t="s">
        <v>31</v>
      </c>
      <c r="E119" t="s">
        <v>13</v>
      </c>
      <c r="F119" t="s">
        <v>28</v>
      </c>
      <c r="G119" t="s">
        <v>36</v>
      </c>
      <c r="H119" s="2">
        <v>71.05</v>
      </c>
      <c r="I119">
        <v>16</v>
      </c>
      <c r="J119" s="2">
        <v>1136.8</v>
      </c>
    </row>
    <row r="120" spans="1:10" x14ac:dyDescent="0.25">
      <c r="A120" t="s">
        <v>156</v>
      </c>
      <c r="B120" s="16">
        <v>46020</v>
      </c>
      <c r="C120" t="s">
        <v>38</v>
      </c>
      <c r="D120" t="s">
        <v>26</v>
      </c>
      <c r="E120" t="s">
        <v>27</v>
      </c>
      <c r="F120" t="s">
        <v>42</v>
      </c>
      <c r="G120" t="s">
        <v>20</v>
      </c>
      <c r="H120" s="2">
        <v>226.36</v>
      </c>
      <c r="I120">
        <v>5</v>
      </c>
      <c r="J120" s="2">
        <v>1131.8</v>
      </c>
    </row>
    <row r="121" spans="1:10" x14ac:dyDescent="0.25">
      <c r="A121" t="s">
        <v>157</v>
      </c>
      <c r="B121" s="16">
        <v>45796</v>
      </c>
      <c r="C121" t="s">
        <v>25</v>
      </c>
      <c r="D121" t="s">
        <v>31</v>
      </c>
      <c r="E121" t="s">
        <v>41</v>
      </c>
      <c r="F121" t="s">
        <v>61</v>
      </c>
      <c r="G121" t="s">
        <v>20</v>
      </c>
      <c r="H121" s="2">
        <v>148.66</v>
      </c>
      <c r="I121">
        <v>20</v>
      </c>
      <c r="J121" s="2">
        <v>2973.2</v>
      </c>
    </row>
    <row r="122" spans="1:10" x14ac:dyDescent="0.25">
      <c r="A122" t="s">
        <v>158</v>
      </c>
      <c r="B122" s="16">
        <v>45961</v>
      </c>
      <c r="C122" t="s">
        <v>34</v>
      </c>
      <c r="D122" t="s">
        <v>26</v>
      </c>
      <c r="E122" t="s">
        <v>45</v>
      </c>
      <c r="F122" t="s">
        <v>32</v>
      </c>
      <c r="G122" t="s">
        <v>36</v>
      </c>
      <c r="H122" s="2">
        <v>207.64</v>
      </c>
      <c r="I122">
        <v>9</v>
      </c>
      <c r="J122" s="2">
        <v>1868.76</v>
      </c>
    </row>
    <row r="123" spans="1:10" x14ac:dyDescent="0.25">
      <c r="A123" t="s">
        <v>159</v>
      </c>
      <c r="B123" s="16">
        <v>45782</v>
      </c>
      <c r="C123" t="s">
        <v>25</v>
      </c>
      <c r="D123" t="s">
        <v>55</v>
      </c>
      <c r="E123" t="s">
        <v>27</v>
      </c>
      <c r="F123" t="s">
        <v>61</v>
      </c>
      <c r="G123" t="s">
        <v>36</v>
      </c>
      <c r="H123" s="2">
        <v>227.14</v>
      </c>
      <c r="I123">
        <v>15</v>
      </c>
      <c r="J123" s="2">
        <v>3407.1</v>
      </c>
    </row>
    <row r="124" spans="1:10" x14ac:dyDescent="0.25">
      <c r="A124" t="s">
        <v>160</v>
      </c>
      <c r="B124" s="16">
        <v>45672</v>
      </c>
      <c r="C124" t="s">
        <v>34</v>
      </c>
      <c r="D124" t="s">
        <v>26</v>
      </c>
      <c r="E124" t="s">
        <v>41</v>
      </c>
      <c r="F124" t="s">
        <v>14</v>
      </c>
      <c r="G124" t="s">
        <v>36</v>
      </c>
      <c r="H124" s="2">
        <v>99.96</v>
      </c>
      <c r="I124">
        <v>16</v>
      </c>
      <c r="J124" s="2">
        <v>1599.36</v>
      </c>
    </row>
    <row r="125" spans="1:10" x14ac:dyDescent="0.25">
      <c r="A125" t="s">
        <v>161</v>
      </c>
      <c r="B125" s="16">
        <v>45790</v>
      </c>
      <c r="C125" t="s">
        <v>34</v>
      </c>
      <c r="D125" t="s">
        <v>55</v>
      </c>
      <c r="E125" t="s">
        <v>27</v>
      </c>
      <c r="F125" t="s">
        <v>32</v>
      </c>
      <c r="G125" t="s">
        <v>20</v>
      </c>
      <c r="H125" s="2">
        <v>54.21</v>
      </c>
      <c r="I125">
        <v>11</v>
      </c>
      <c r="J125" s="2">
        <v>596.30999999999995</v>
      </c>
    </row>
    <row r="126" spans="1:10" x14ac:dyDescent="0.25">
      <c r="A126" t="s">
        <v>162</v>
      </c>
      <c r="B126" s="16">
        <v>45663</v>
      </c>
      <c r="C126" t="s">
        <v>30</v>
      </c>
      <c r="D126" t="s">
        <v>22</v>
      </c>
      <c r="E126" t="s">
        <v>23</v>
      </c>
      <c r="F126" t="s">
        <v>28</v>
      </c>
      <c r="G126" t="s">
        <v>36</v>
      </c>
      <c r="H126" s="2">
        <v>80.150000000000006</v>
      </c>
      <c r="I126">
        <v>17</v>
      </c>
      <c r="J126" s="2">
        <v>1362.55</v>
      </c>
    </row>
    <row r="127" spans="1:10" x14ac:dyDescent="0.25">
      <c r="A127" t="s">
        <v>163</v>
      </c>
      <c r="B127" s="16">
        <v>45908</v>
      </c>
      <c r="C127" t="s">
        <v>30</v>
      </c>
      <c r="D127" t="s">
        <v>12</v>
      </c>
      <c r="E127" t="s">
        <v>41</v>
      </c>
      <c r="F127" t="s">
        <v>28</v>
      </c>
      <c r="G127" t="s">
        <v>20</v>
      </c>
      <c r="H127" s="2">
        <v>123.96</v>
      </c>
      <c r="I127">
        <v>18</v>
      </c>
      <c r="J127" s="2">
        <v>2231.2800000000002</v>
      </c>
    </row>
    <row r="128" spans="1:10" x14ac:dyDescent="0.25">
      <c r="A128" t="s">
        <v>164</v>
      </c>
      <c r="B128" s="16">
        <v>45909</v>
      </c>
      <c r="C128" t="s">
        <v>11</v>
      </c>
      <c r="D128" t="s">
        <v>22</v>
      </c>
      <c r="E128" t="s">
        <v>13</v>
      </c>
      <c r="F128" t="s">
        <v>14</v>
      </c>
      <c r="G128" t="s">
        <v>36</v>
      </c>
      <c r="H128" s="2">
        <v>209.96</v>
      </c>
      <c r="I128">
        <v>15</v>
      </c>
      <c r="J128" s="2">
        <v>3149.4</v>
      </c>
    </row>
    <row r="129" spans="1:10" x14ac:dyDescent="0.25">
      <c r="A129" t="s">
        <v>165</v>
      </c>
      <c r="B129" s="16">
        <v>46012</v>
      </c>
      <c r="C129" t="s">
        <v>34</v>
      </c>
      <c r="D129" t="s">
        <v>12</v>
      </c>
      <c r="E129" t="s">
        <v>18</v>
      </c>
      <c r="F129" t="s">
        <v>32</v>
      </c>
      <c r="G129" t="s">
        <v>36</v>
      </c>
      <c r="H129" s="2">
        <v>219.36</v>
      </c>
      <c r="I129">
        <v>8</v>
      </c>
      <c r="J129" s="2">
        <v>1754.88</v>
      </c>
    </row>
    <row r="130" spans="1:10" x14ac:dyDescent="0.25">
      <c r="A130" t="s">
        <v>166</v>
      </c>
      <c r="B130" s="16">
        <v>45941</v>
      </c>
      <c r="C130" t="s">
        <v>34</v>
      </c>
      <c r="D130" t="s">
        <v>31</v>
      </c>
      <c r="E130" t="s">
        <v>27</v>
      </c>
      <c r="F130" t="s">
        <v>42</v>
      </c>
      <c r="G130" t="s">
        <v>36</v>
      </c>
      <c r="H130" s="2">
        <v>31.53</v>
      </c>
      <c r="I130">
        <v>17</v>
      </c>
      <c r="J130" s="2">
        <v>536.01</v>
      </c>
    </row>
    <row r="131" spans="1:10" x14ac:dyDescent="0.25">
      <c r="A131" t="s">
        <v>167</v>
      </c>
      <c r="B131" s="16">
        <v>45838</v>
      </c>
      <c r="C131" t="s">
        <v>34</v>
      </c>
      <c r="D131" t="s">
        <v>35</v>
      </c>
      <c r="E131" t="s">
        <v>13</v>
      </c>
      <c r="F131" t="s">
        <v>14</v>
      </c>
      <c r="G131" t="s">
        <v>15</v>
      </c>
      <c r="H131" s="2">
        <v>142.36000000000001</v>
      </c>
      <c r="I131">
        <v>15</v>
      </c>
      <c r="J131" s="2">
        <v>2135.4</v>
      </c>
    </row>
    <row r="132" spans="1:10" x14ac:dyDescent="0.25">
      <c r="A132" t="s">
        <v>168</v>
      </c>
      <c r="B132" s="16">
        <v>45756</v>
      </c>
      <c r="C132" t="s">
        <v>11</v>
      </c>
      <c r="D132" t="s">
        <v>12</v>
      </c>
      <c r="E132" t="s">
        <v>18</v>
      </c>
      <c r="F132" t="s">
        <v>39</v>
      </c>
      <c r="G132" t="s">
        <v>20</v>
      </c>
      <c r="H132" s="2">
        <v>121.83</v>
      </c>
      <c r="I132">
        <v>11</v>
      </c>
      <c r="J132" s="2">
        <v>1340.13</v>
      </c>
    </row>
    <row r="133" spans="1:10" x14ac:dyDescent="0.25">
      <c r="A133" t="s">
        <v>169</v>
      </c>
      <c r="B133" s="16">
        <v>45752</v>
      </c>
      <c r="C133" t="s">
        <v>30</v>
      </c>
      <c r="D133" t="s">
        <v>12</v>
      </c>
      <c r="E133" t="s">
        <v>41</v>
      </c>
      <c r="F133" t="s">
        <v>32</v>
      </c>
      <c r="G133" t="s">
        <v>20</v>
      </c>
      <c r="H133" s="2">
        <v>78.86</v>
      </c>
      <c r="I133">
        <v>7</v>
      </c>
      <c r="J133" s="2">
        <v>552.02</v>
      </c>
    </row>
    <row r="134" spans="1:10" x14ac:dyDescent="0.25">
      <c r="A134" t="s">
        <v>170</v>
      </c>
      <c r="B134" s="16">
        <v>45959</v>
      </c>
      <c r="C134" t="s">
        <v>25</v>
      </c>
      <c r="D134" t="s">
        <v>35</v>
      </c>
      <c r="E134" t="s">
        <v>45</v>
      </c>
      <c r="F134" t="s">
        <v>39</v>
      </c>
      <c r="G134" t="s">
        <v>15</v>
      </c>
      <c r="H134" s="2">
        <v>56.37</v>
      </c>
      <c r="I134">
        <v>17</v>
      </c>
      <c r="J134" s="2">
        <v>958.29</v>
      </c>
    </row>
    <row r="135" spans="1:10" x14ac:dyDescent="0.25">
      <c r="A135" t="s">
        <v>171</v>
      </c>
      <c r="B135" s="16">
        <v>45809</v>
      </c>
      <c r="C135" t="s">
        <v>34</v>
      </c>
      <c r="D135" t="s">
        <v>26</v>
      </c>
      <c r="E135" t="s">
        <v>13</v>
      </c>
      <c r="F135" t="s">
        <v>19</v>
      </c>
      <c r="G135" t="s">
        <v>20</v>
      </c>
      <c r="H135" s="2">
        <v>104.28</v>
      </c>
      <c r="I135">
        <v>8</v>
      </c>
      <c r="J135" s="2">
        <v>834.24</v>
      </c>
    </row>
    <row r="136" spans="1:10" x14ac:dyDescent="0.25">
      <c r="A136" t="s">
        <v>172</v>
      </c>
      <c r="B136" s="16">
        <v>45931</v>
      </c>
      <c r="C136" t="s">
        <v>34</v>
      </c>
      <c r="D136" t="s">
        <v>22</v>
      </c>
      <c r="E136" t="s">
        <v>45</v>
      </c>
      <c r="F136" t="s">
        <v>42</v>
      </c>
      <c r="G136" t="s">
        <v>36</v>
      </c>
      <c r="H136" s="2">
        <v>237.44</v>
      </c>
      <c r="I136">
        <v>5</v>
      </c>
      <c r="J136" s="2">
        <v>1187.2</v>
      </c>
    </row>
    <row r="137" spans="1:10" x14ac:dyDescent="0.25">
      <c r="A137" t="s">
        <v>173</v>
      </c>
      <c r="B137" s="16">
        <v>46015</v>
      </c>
      <c r="C137" t="s">
        <v>17</v>
      </c>
      <c r="D137" t="s">
        <v>31</v>
      </c>
      <c r="E137" t="s">
        <v>45</v>
      </c>
      <c r="F137" t="s">
        <v>39</v>
      </c>
      <c r="G137" t="s">
        <v>15</v>
      </c>
      <c r="H137" s="2">
        <v>101.1</v>
      </c>
      <c r="I137">
        <v>5</v>
      </c>
      <c r="J137" s="2">
        <v>505.5</v>
      </c>
    </row>
    <row r="138" spans="1:10" x14ac:dyDescent="0.25">
      <c r="A138" t="s">
        <v>174</v>
      </c>
      <c r="B138" s="16">
        <v>45951</v>
      </c>
      <c r="C138" t="s">
        <v>38</v>
      </c>
      <c r="D138" t="s">
        <v>31</v>
      </c>
      <c r="E138" t="s">
        <v>41</v>
      </c>
      <c r="F138" t="s">
        <v>32</v>
      </c>
      <c r="G138" t="s">
        <v>15</v>
      </c>
      <c r="H138" s="2">
        <v>144.13</v>
      </c>
      <c r="I138">
        <v>10</v>
      </c>
      <c r="J138" s="2">
        <v>1441.3</v>
      </c>
    </row>
    <row r="139" spans="1:10" x14ac:dyDescent="0.25">
      <c r="A139" t="s">
        <v>175</v>
      </c>
      <c r="B139" s="16">
        <v>45684</v>
      </c>
      <c r="C139" t="s">
        <v>38</v>
      </c>
      <c r="D139" t="s">
        <v>22</v>
      </c>
      <c r="E139" t="s">
        <v>45</v>
      </c>
      <c r="F139" t="s">
        <v>61</v>
      </c>
      <c r="G139" t="s">
        <v>36</v>
      </c>
      <c r="H139" s="2">
        <v>184.66</v>
      </c>
      <c r="I139">
        <v>9</v>
      </c>
      <c r="J139" s="2">
        <v>1661.94</v>
      </c>
    </row>
    <row r="140" spans="1:10" x14ac:dyDescent="0.25">
      <c r="A140" t="s">
        <v>176</v>
      </c>
      <c r="B140" s="16">
        <v>45695</v>
      </c>
      <c r="C140" t="s">
        <v>17</v>
      </c>
      <c r="D140" t="s">
        <v>12</v>
      </c>
      <c r="E140" t="s">
        <v>45</v>
      </c>
      <c r="F140" t="s">
        <v>14</v>
      </c>
      <c r="G140" t="s">
        <v>15</v>
      </c>
      <c r="H140" s="2">
        <v>110</v>
      </c>
      <c r="I140">
        <v>19</v>
      </c>
      <c r="J140" s="2">
        <v>2090</v>
      </c>
    </row>
    <row r="141" spans="1:10" x14ac:dyDescent="0.25">
      <c r="A141" t="s">
        <v>177</v>
      </c>
      <c r="B141" s="16">
        <v>45946</v>
      </c>
      <c r="C141" t="s">
        <v>11</v>
      </c>
      <c r="D141" t="s">
        <v>26</v>
      </c>
      <c r="E141" t="s">
        <v>45</v>
      </c>
      <c r="F141" t="s">
        <v>42</v>
      </c>
      <c r="G141" t="s">
        <v>36</v>
      </c>
      <c r="H141" s="2">
        <v>243.79</v>
      </c>
      <c r="I141">
        <v>10</v>
      </c>
      <c r="J141" s="2">
        <v>2437.9</v>
      </c>
    </row>
    <row r="142" spans="1:10" x14ac:dyDescent="0.25">
      <c r="A142" t="s">
        <v>178</v>
      </c>
      <c r="B142" s="16">
        <v>45968</v>
      </c>
      <c r="C142" t="s">
        <v>25</v>
      </c>
      <c r="D142" t="s">
        <v>26</v>
      </c>
      <c r="E142" t="s">
        <v>18</v>
      </c>
      <c r="F142" t="s">
        <v>61</v>
      </c>
      <c r="G142" t="s">
        <v>36</v>
      </c>
      <c r="H142" s="2">
        <v>241.74</v>
      </c>
      <c r="I142">
        <v>20</v>
      </c>
      <c r="J142" s="2">
        <v>4834.8</v>
      </c>
    </row>
    <row r="143" spans="1:10" x14ac:dyDescent="0.25">
      <c r="A143" t="s">
        <v>179</v>
      </c>
      <c r="B143" s="16">
        <v>45884</v>
      </c>
      <c r="C143" t="s">
        <v>25</v>
      </c>
      <c r="D143" t="s">
        <v>31</v>
      </c>
      <c r="E143" t="s">
        <v>13</v>
      </c>
      <c r="F143" t="s">
        <v>42</v>
      </c>
      <c r="G143" t="s">
        <v>20</v>
      </c>
      <c r="H143" s="2">
        <v>85.39</v>
      </c>
      <c r="I143">
        <v>10</v>
      </c>
      <c r="J143" s="2">
        <v>853.9</v>
      </c>
    </row>
    <row r="144" spans="1:10" x14ac:dyDescent="0.25">
      <c r="A144" t="s">
        <v>180</v>
      </c>
      <c r="B144" s="16">
        <v>45688</v>
      </c>
      <c r="C144" t="s">
        <v>17</v>
      </c>
      <c r="D144" t="s">
        <v>22</v>
      </c>
      <c r="E144" t="s">
        <v>23</v>
      </c>
      <c r="F144" t="s">
        <v>28</v>
      </c>
      <c r="G144" t="s">
        <v>15</v>
      </c>
      <c r="H144" s="2">
        <v>139.38999999999999</v>
      </c>
      <c r="I144">
        <v>20</v>
      </c>
      <c r="J144" s="2">
        <v>2787.8</v>
      </c>
    </row>
    <row r="145" spans="1:10" x14ac:dyDescent="0.25">
      <c r="A145" t="s">
        <v>181</v>
      </c>
      <c r="B145" s="16">
        <v>45793</v>
      </c>
      <c r="C145" t="s">
        <v>30</v>
      </c>
      <c r="D145" t="s">
        <v>26</v>
      </c>
      <c r="E145" t="s">
        <v>23</v>
      </c>
      <c r="F145" t="s">
        <v>42</v>
      </c>
      <c r="G145" t="s">
        <v>15</v>
      </c>
      <c r="H145" s="2">
        <v>96.19</v>
      </c>
      <c r="I145">
        <v>3</v>
      </c>
      <c r="J145" s="2">
        <v>288.57</v>
      </c>
    </row>
    <row r="146" spans="1:10" x14ac:dyDescent="0.25">
      <c r="A146" t="s">
        <v>182</v>
      </c>
      <c r="B146" s="16">
        <v>45738</v>
      </c>
      <c r="C146" t="s">
        <v>38</v>
      </c>
      <c r="D146" t="s">
        <v>31</v>
      </c>
      <c r="E146" t="s">
        <v>27</v>
      </c>
      <c r="F146" t="s">
        <v>42</v>
      </c>
      <c r="G146" t="s">
        <v>36</v>
      </c>
      <c r="H146" s="2">
        <v>92.66</v>
      </c>
      <c r="I146">
        <v>1</v>
      </c>
      <c r="J146" s="2">
        <v>92.66</v>
      </c>
    </row>
    <row r="147" spans="1:10" x14ac:dyDescent="0.25">
      <c r="A147" t="s">
        <v>183</v>
      </c>
      <c r="B147" s="16">
        <v>45807</v>
      </c>
      <c r="C147" t="s">
        <v>30</v>
      </c>
      <c r="D147" t="s">
        <v>35</v>
      </c>
      <c r="E147" t="s">
        <v>27</v>
      </c>
      <c r="F147" t="s">
        <v>32</v>
      </c>
      <c r="G147" t="s">
        <v>20</v>
      </c>
      <c r="H147" s="2">
        <v>38.119999999999997</v>
      </c>
      <c r="I147">
        <v>2</v>
      </c>
      <c r="J147" s="2">
        <v>76.239999999999995</v>
      </c>
    </row>
    <row r="148" spans="1:10" x14ac:dyDescent="0.25">
      <c r="A148" t="s">
        <v>184</v>
      </c>
      <c r="B148" s="16">
        <v>45890</v>
      </c>
      <c r="C148" t="s">
        <v>17</v>
      </c>
      <c r="D148" t="s">
        <v>26</v>
      </c>
      <c r="E148" t="s">
        <v>13</v>
      </c>
      <c r="F148" t="s">
        <v>39</v>
      </c>
      <c r="G148" t="s">
        <v>20</v>
      </c>
      <c r="H148" s="2">
        <v>164.1</v>
      </c>
      <c r="I148">
        <v>3</v>
      </c>
      <c r="J148" s="2">
        <v>492.3</v>
      </c>
    </row>
    <row r="149" spans="1:10" x14ac:dyDescent="0.25">
      <c r="A149" t="s">
        <v>185</v>
      </c>
      <c r="B149" s="16">
        <v>45959</v>
      </c>
      <c r="C149" t="s">
        <v>38</v>
      </c>
      <c r="D149" t="s">
        <v>22</v>
      </c>
      <c r="E149" t="s">
        <v>18</v>
      </c>
      <c r="F149" t="s">
        <v>14</v>
      </c>
      <c r="G149" t="s">
        <v>20</v>
      </c>
      <c r="H149" s="2">
        <v>140.59</v>
      </c>
      <c r="I149">
        <v>7</v>
      </c>
      <c r="J149" s="2">
        <v>984.13</v>
      </c>
    </row>
    <row r="150" spans="1:10" x14ac:dyDescent="0.25">
      <c r="A150" t="s">
        <v>186</v>
      </c>
      <c r="B150" s="16">
        <v>45734</v>
      </c>
      <c r="C150" t="s">
        <v>30</v>
      </c>
      <c r="D150" t="s">
        <v>22</v>
      </c>
      <c r="E150" t="s">
        <v>45</v>
      </c>
      <c r="F150" t="s">
        <v>14</v>
      </c>
      <c r="G150" t="s">
        <v>36</v>
      </c>
      <c r="H150" s="2">
        <v>41.33</v>
      </c>
      <c r="I150">
        <v>9</v>
      </c>
      <c r="J150" s="2">
        <v>371.97</v>
      </c>
    </row>
    <row r="151" spans="1:10" x14ac:dyDescent="0.25">
      <c r="A151" t="s">
        <v>187</v>
      </c>
      <c r="B151" s="16">
        <v>45962</v>
      </c>
      <c r="C151" t="s">
        <v>34</v>
      </c>
      <c r="D151" t="s">
        <v>31</v>
      </c>
      <c r="E151" t="s">
        <v>45</v>
      </c>
      <c r="F151" t="s">
        <v>61</v>
      </c>
      <c r="G151" t="s">
        <v>20</v>
      </c>
      <c r="H151" s="2">
        <v>91.3</v>
      </c>
      <c r="I151">
        <v>19</v>
      </c>
      <c r="J151" s="2">
        <v>1734.7</v>
      </c>
    </row>
    <row r="152" spans="1:10" x14ac:dyDescent="0.25">
      <c r="A152" t="s">
        <v>188</v>
      </c>
      <c r="B152" s="16">
        <v>45813</v>
      </c>
      <c r="C152" t="s">
        <v>34</v>
      </c>
      <c r="D152" t="s">
        <v>55</v>
      </c>
      <c r="E152" t="s">
        <v>18</v>
      </c>
      <c r="F152" t="s">
        <v>61</v>
      </c>
      <c r="G152" t="s">
        <v>36</v>
      </c>
      <c r="H152" s="2">
        <v>229.82</v>
      </c>
      <c r="I152">
        <v>13</v>
      </c>
      <c r="J152" s="2">
        <v>2987.66</v>
      </c>
    </row>
    <row r="153" spans="1:10" x14ac:dyDescent="0.25">
      <c r="A153" t="s">
        <v>189</v>
      </c>
      <c r="B153" s="16">
        <v>45699</v>
      </c>
      <c r="C153" t="s">
        <v>11</v>
      </c>
      <c r="D153" t="s">
        <v>31</v>
      </c>
      <c r="E153" t="s">
        <v>27</v>
      </c>
      <c r="F153" t="s">
        <v>32</v>
      </c>
      <c r="G153" t="s">
        <v>20</v>
      </c>
      <c r="H153" s="2">
        <v>82.7</v>
      </c>
      <c r="I153">
        <v>20</v>
      </c>
      <c r="J153" s="2">
        <v>1654</v>
      </c>
    </row>
    <row r="154" spans="1:10" x14ac:dyDescent="0.25">
      <c r="A154" t="s">
        <v>190</v>
      </c>
      <c r="B154" s="16">
        <v>45786</v>
      </c>
      <c r="C154" t="s">
        <v>11</v>
      </c>
      <c r="D154" t="s">
        <v>26</v>
      </c>
      <c r="E154" t="s">
        <v>27</v>
      </c>
      <c r="F154" t="s">
        <v>39</v>
      </c>
      <c r="G154" t="s">
        <v>20</v>
      </c>
      <c r="H154" s="2">
        <v>61.88</v>
      </c>
      <c r="I154">
        <v>1</v>
      </c>
      <c r="J154" s="2">
        <v>61.88</v>
      </c>
    </row>
    <row r="155" spans="1:10" x14ac:dyDescent="0.25">
      <c r="A155" t="s">
        <v>191</v>
      </c>
      <c r="B155" s="16">
        <v>45958</v>
      </c>
      <c r="C155" t="s">
        <v>17</v>
      </c>
      <c r="D155" t="s">
        <v>35</v>
      </c>
      <c r="E155" t="s">
        <v>18</v>
      </c>
      <c r="F155" t="s">
        <v>19</v>
      </c>
      <c r="G155" t="s">
        <v>15</v>
      </c>
      <c r="H155" s="2">
        <v>137.68</v>
      </c>
      <c r="I155">
        <v>1</v>
      </c>
      <c r="J155" s="2">
        <v>137.68</v>
      </c>
    </row>
    <row r="156" spans="1:10" x14ac:dyDescent="0.25">
      <c r="A156" t="s">
        <v>192</v>
      </c>
      <c r="B156" s="16">
        <v>45898</v>
      </c>
      <c r="C156" t="s">
        <v>17</v>
      </c>
      <c r="D156" t="s">
        <v>31</v>
      </c>
      <c r="E156" t="s">
        <v>13</v>
      </c>
      <c r="F156" t="s">
        <v>14</v>
      </c>
      <c r="G156" t="s">
        <v>20</v>
      </c>
      <c r="H156" s="2">
        <v>246.84</v>
      </c>
      <c r="I156">
        <v>17</v>
      </c>
      <c r="J156" s="2">
        <v>4196.28</v>
      </c>
    </row>
    <row r="157" spans="1:10" x14ac:dyDescent="0.25">
      <c r="A157" t="s">
        <v>193</v>
      </c>
      <c r="B157" s="16">
        <v>45881</v>
      </c>
      <c r="C157" t="s">
        <v>11</v>
      </c>
      <c r="D157" t="s">
        <v>31</v>
      </c>
      <c r="E157" t="s">
        <v>13</v>
      </c>
      <c r="F157" t="s">
        <v>61</v>
      </c>
      <c r="G157" t="s">
        <v>36</v>
      </c>
      <c r="H157" s="2">
        <v>83.25</v>
      </c>
      <c r="I157">
        <v>16</v>
      </c>
      <c r="J157" s="2">
        <v>1332</v>
      </c>
    </row>
    <row r="158" spans="1:10" x14ac:dyDescent="0.25">
      <c r="A158" t="s">
        <v>194</v>
      </c>
      <c r="B158" s="16">
        <v>45822</v>
      </c>
      <c r="C158" t="s">
        <v>30</v>
      </c>
      <c r="D158" t="s">
        <v>35</v>
      </c>
      <c r="E158" t="s">
        <v>41</v>
      </c>
      <c r="F158" t="s">
        <v>28</v>
      </c>
      <c r="G158" t="s">
        <v>36</v>
      </c>
      <c r="H158" s="2">
        <v>177.87</v>
      </c>
      <c r="I158">
        <v>4</v>
      </c>
      <c r="J158" s="2">
        <v>711.48</v>
      </c>
    </row>
    <row r="159" spans="1:10" x14ac:dyDescent="0.25">
      <c r="A159" t="s">
        <v>195</v>
      </c>
      <c r="B159" s="16">
        <v>45805</v>
      </c>
      <c r="C159" t="s">
        <v>25</v>
      </c>
      <c r="D159" t="s">
        <v>22</v>
      </c>
      <c r="E159" t="s">
        <v>41</v>
      </c>
      <c r="F159" t="s">
        <v>19</v>
      </c>
      <c r="G159" t="s">
        <v>36</v>
      </c>
      <c r="H159" s="2">
        <v>197.56</v>
      </c>
      <c r="I159">
        <v>13</v>
      </c>
      <c r="J159" s="2">
        <v>2568.2800000000002</v>
      </c>
    </row>
    <row r="160" spans="1:10" x14ac:dyDescent="0.25">
      <c r="A160" t="s">
        <v>196</v>
      </c>
      <c r="B160" s="16">
        <v>45787</v>
      </c>
      <c r="C160" t="s">
        <v>11</v>
      </c>
      <c r="D160" t="s">
        <v>31</v>
      </c>
      <c r="E160" t="s">
        <v>18</v>
      </c>
      <c r="F160" t="s">
        <v>39</v>
      </c>
      <c r="G160" t="s">
        <v>15</v>
      </c>
      <c r="H160" s="2">
        <v>82.28</v>
      </c>
      <c r="I160">
        <v>11</v>
      </c>
      <c r="J160" s="2">
        <v>905.08</v>
      </c>
    </row>
    <row r="161" spans="1:10" x14ac:dyDescent="0.25">
      <c r="A161" t="s">
        <v>197</v>
      </c>
      <c r="B161" s="16">
        <v>45994</v>
      </c>
      <c r="C161" t="s">
        <v>38</v>
      </c>
      <c r="D161" t="s">
        <v>31</v>
      </c>
      <c r="E161" t="s">
        <v>45</v>
      </c>
      <c r="F161" t="s">
        <v>14</v>
      </c>
      <c r="G161" t="s">
        <v>20</v>
      </c>
      <c r="H161" s="2">
        <v>190.21</v>
      </c>
      <c r="I161">
        <v>18</v>
      </c>
      <c r="J161" s="2">
        <v>3423.78</v>
      </c>
    </row>
    <row r="162" spans="1:10" x14ac:dyDescent="0.25">
      <c r="A162" t="s">
        <v>198</v>
      </c>
      <c r="B162" s="16">
        <v>45843</v>
      </c>
      <c r="C162" t="s">
        <v>38</v>
      </c>
      <c r="D162" t="s">
        <v>12</v>
      </c>
      <c r="E162" t="s">
        <v>41</v>
      </c>
      <c r="F162" t="s">
        <v>39</v>
      </c>
      <c r="G162" t="s">
        <v>15</v>
      </c>
      <c r="H162" s="2">
        <v>110.91</v>
      </c>
      <c r="I162">
        <v>20</v>
      </c>
      <c r="J162" s="2">
        <v>2218.1999999999998</v>
      </c>
    </row>
    <row r="163" spans="1:10" x14ac:dyDescent="0.25">
      <c r="A163" t="s">
        <v>199</v>
      </c>
      <c r="B163" s="16">
        <v>45762</v>
      </c>
      <c r="C163" t="s">
        <v>25</v>
      </c>
      <c r="D163" t="s">
        <v>26</v>
      </c>
      <c r="E163" t="s">
        <v>13</v>
      </c>
      <c r="F163" t="s">
        <v>61</v>
      </c>
      <c r="G163" t="s">
        <v>20</v>
      </c>
      <c r="H163" s="2">
        <v>169.11</v>
      </c>
      <c r="I163">
        <v>9</v>
      </c>
      <c r="J163" s="2">
        <v>1521.99</v>
      </c>
    </row>
    <row r="164" spans="1:10" x14ac:dyDescent="0.25">
      <c r="A164" t="s">
        <v>200</v>
      </c>
      <c r="B164" s="16">
        <v>45906</v>
      </c>
      <c r="C164" t="s">
        <v>11</v>
      </c>
      <c r="D164" t="s">
        <v>12</v>
      </c>
      <c r="E164" t="s">
        <v>18</v>
      </c>
      <c r="F164" t="s">
        <v>39</v>
      </c>
      <c r="G164" t="s">
        <v>15</v>
      </c>
      <c r="H164" s="2">
        <v>169.38</v>
      </c>
      <c r="I164">
        <v>4</v>
      </c>
      <c r="J164" s="2">
        <v>677.52</v>
      </c>
    </row>
    <row r="165" spans="1:10" x14ac:dyDescent="0.25">
      <c r="A165" t="s">
        <v>201</v>
      </c>
      <c r="B165" s="16">
        <v>46021</v>
      </c>
      <c r="C165" t="s">
        <v>34</v>
      </c>
      <c r="D165" t="s">
        <v>55</v>
      </c>
      <c r="E165" t="s">
        <v>45</v>
      </c>
      <c r="F165" t="s">
        <v>42</v>
      </c>
      <c r="G165" t="s">
        <v>36</v>
      </c>
      <c r="H165" s="2">
        <v>147.87</v>
      </c>
      <c r="I165">
        <v>6</v>
      </c>
      <c r="J165" s="2">
        <v>887.22</v>
      </c>
    </row>
    <row r="166" spans="1:10" x14ac:dyDescent="0.25">
      <c r="A166" t="s">
        <v>202</v>
      </c>
      <c r="B166" s="16">
        <v>45705</v>
      </c>
      <c r="C166" t="s">
        <v>11</v>
      </c>
      <c r="D166" t="s">
        <v>31</v>
      </c>
      <c r="E166" t="s">
        <v>45</v>
      </c>
      <c r="F166" t="s">
        <v>28</v>
      </c>
      <c r="G166" t="s">
        <v>15</v>
      </c>
      <c r="H166" s="2">
        <v>49.86</v>
      </c>
      <c r="I166">
        <v>8</v>
      </c>
      <c r="J166" s="2">
        <v>398.88</v>
      </c>
    </row>
    <row r="167" spans="1:10" x14ac:dyDescent="0.25">
      <c r="A167" t="s">
        <v>203</v>
      </c>
      <c r="B167" s="16">
        <v>45913</v>
      </c>
      <c r="C167" t="s">
        <v>25</v>
      </c>
      <c r="D167" t="s">
        <v>12</v>
      </c>
      <c r="E167" t="s">
        <v>13</v>
      </c>
      <c r="F167" t="s">
        <v>61</v>
      </c>
      <c r="G167" t="s">
        <v>36</v>
      </c>
      <c r="H167" s="2">
        <v>213.77</v>
      </c>
      <c r="I167">
        <v>10</v>
      </c>
      <c r="J167" s="2">
        <v>2137.6999999999998</v>
      </c>
    </row>
    <row r="168" spans="1:10" x14ac:dyDescent="0.25">
      <c r="A168" t="s">
        <v>204</v>
      </c>
      <c r="B168" s="16">
        <v>45899</v>
      </c>
      <c r="C168" t="s">
        <v>38</v>
      </c>
      <c r="D168" t="s">
        <v>55</v>
      </c>
      <c r="E168" t="s">
        <v>23</v>
      </c>
      <c r="F168" t="s">
        <v>61</v>
      </c>
      <c r="G168" t="s">
        <v>15</v>
      </c>
      <c r="H168" s="2">
        <v>100.57</v>
      </c>
      <c r="I168">
        <v>8</v>
      </c>
      <c r="J168" s="2">
        <v>804.56</v>
      </c>
    </row>
    <row r="169" spans="1:10" x14ac:dyDescent="0.25">
      <c r="A169" t="s">
        <v>205</v>
      </c>
      <c r="B169" s="16">
        <v>45964</v>
      </c>
      <c r="C169" t="s">
        <v>17</v>
      </c>
      <c r="D169" t="s">
        <v>26</v>
      </c>
      <c r="E169" t="s">
        <v>45</v>
      </c>
      <c r="F169" t="s">
        <v>32</v>
      </c>
      <c r="G169" t="s">
        <v>36</v>
      </c>
      <c r="H169" s="2">
        <v>71.03</v>
      </c>
      <c r="I169">
        <v>17</v>
      </c>
      <c r="J169" s="2">
        <v>1207.51</v>
      </c>
    </row>
    <row r="170" spans="1:10" x14ac:dyDescent="0.25">
      <c r="A170" t="s">
        <v>206</v>
      </c>
      <c r="B170" s="16">
        <v>45832</v>
      </c>
      <c r="C170" t="s">
        <v>34</v>
      </c>
      <c r="D170" t="s">
        <v>22</v>
      </c>
      <c r="E170" t="s">
        <v>13</v>
      </c>
      <c r="F170" t="s">
        <v>28</v>
      </c>
      <c r="G170" t="s">
        <v>36</v>
      </c>
      <c r="H170" s="2">
        <v>38.97</v>
      </c>
      <c r="I170">
        <v>17</v>
      </c>
      <c r="J170" s="2">
        <v>662.49</v>
      </c>
    </row>
    <row r="171" spans="1:10" x14ac:dyDescent="0.25">
      <c r="A171" t="s">
        <v>207</v>
      </c>
      <c r="B171" s="16">
        <v>45958</v>
      </c>
      <c r="C171" t="s">
        <v>17</v>
      </c>
      <c r="D171" t="s">
        <v>31</v>
      </c>
      <c r="E171" t="s">
        <v>23</v>
      </c>
      <c r="F171" t="s">
        <v>61</v>
      </c>
      <c r="G171" t="s">
        <v>20</v>
      </c>
      <c r="H171" s="2">
        <v>160</v>
      </c>
      <c r="I171">
        <v>19</v>
      </c>
      <c r="J171" s="2">
        <v>3040</v>
      </c>
    </row>
    <row r="172" spans="1:10" x14ac:dyDescent="0.25">
      <c r="A172" t="s">
        <v>208</v>
      </c>
      <c r="B172" s="16">
        <v>45905</v>
      </c>
      <c r="C172" t="s">
        <v>34</v>
      </c>
      <c r="D172" t="s">
        <v>55</v>
      </c>
      <c r="E172" t="s">
        <v>18</v>
      </c>
      <c r="F172" t="s">
        <v>61</v>
      </c>
      <c r="G172" t="s">
        <v>36</v>
      </c>
      <c r="H172" s="2">
        <v>179.06</v>
      </c>
      <c r="I172">
        <v>12</v>
      </c>
      <c r="J172" s="2">
        <v>2148.7199999999998</v>
      </c>
    </row>
    <row r="173" spans="1:10" x14ac:dyDescent="0.25">
      <c r="A173" t="s">
        <v>209</v>
      </c>
      <c r="B173" s="16">
        <v>45822</v>
      </c>
      <c r="C173" t="s">
        <v>17</v>
      </c>
      <c r="D173" t="s">
        <v>26</v>
      </c>
      <c r="E173" t="s">
        <v>18</v>
      </c>
      <c r="F173" t="s">
        <v>61</v>
      </c>
      <c r="G173" t="s">
        <v>15</v>
      </c>
      <c r="H173" s="2">
        <v>33.65</v>
      </c>
      <c r="I173">
        <v>7</v>
      </c>
      <c r="J173" s="2">
        <v>235.55</v>
      </c>
    </row>
    <row r="174" spans="1:10" x14ac:dyDescent="0.25">
      <c r="A174" t="s">
        <v>210</v>
      </c>
      <c r="B174" s="16">
        <v>45868</v>
      </c>
      <c r="C174" t="s">
        <v>34</v>
      </c>
      <c r="D174" t="s">
        <v>12</v>
      </c>
      <c r="E174" t="s">
        <v>41</v>
      </c>
      <c r="F174" t="s">
        <v>28</v>
      </c>
      <c r="G174" t="s">
        <v>36</v>
      </c>
      <c r="H174" s="2">
        <v>142.66</v>
      </c>
      <c r="I174">
        <v>2</v>
      </c>
      <c r="J174" s="2">
        <v>285.32</v>
      </c>
    </row>
    <row r="175" spans="1:10" x14ac:dyDescent="0.25">
      <c r="A175" t="s">
        <v>211</v>
      </c>
      <c r="B175" s="16">
        <v>45855</v>
      </c>
      <c r="C175" t="s">
        <v>38</v>
      </c>
      <c r="D175" t="s">
        <v>22</v>
      </c>
      <c r="E175" t="s">
        <v>23</v>
      </c>
      <c r="F175" t="s">
        <v>42</v>
      </c>
      <c r="G175" t="s">
        <v>20</v>
      </c>
      <c r="H175" s="2">
        <v>79.83</v>
      </c>
      <c r="I175">
        <v>5</v>
      </c>
      <c r="J175" s="2">
        <v>399.15</v>
      </c>
    </row>
    <row r="176" spans="1:10" x14ac:dyDescent="0.25">
      <c r="A176" t="s">
        <v>212</v>
      </c>
      <c r="B176" s="16">
        <v>45827</v>
      </c>
      <c r="C176" t="s">
        <v>38</v>
      </c>
      <c r="D176" t="s">
        <v>22</v>
      </c>
      <c r="E176" t="s">
        <v>18</v>
      </c>
      <c r="F176" t="s">
        <v>61</v>
      </c>
      <c r="G176" t="s">
        <v>15</v>
      </c>
      <c r="H176" s="2">
        <v>171.94</v>
      </c>
      <c r="I176">
        <v>4</v>
      </c>
      <c r="J176" s="2">
        <v>687.76</v>
      </c>
    </row>
    <row r="177" spans="1:10" x14ac:dyDescent="0.25">
      <c r="A177" t="s">
        <v>213</v>
      </c>
      <c r="B177" s="16">
        <v>45731</v>
      </c>
      <c r="C177" t="s">
        <v>17</v>
      </c>
      <c r="D177" t="s">
        <v>26</v>
      </c>
      <c r="E177" t="s">
        <v>45</v>
      </c>
      <c r="F177" t="s">
        <v>61</v>
      </c>
      <c r="G177" t="s">
        <v>36</v>
      </c>
      <c r="H177" s="2">
        <v>68.36</v>
      </c>
      <c r="I177">
        <v>14</v>
      </c>
      <c r="J177" s="2">
        <v>957.04</v>
      </c>
    </row>
    <row r="178" spans="1:10" x14ac:dyDescent="0.25">
      <c r="A178" t="s">
        <v>214</v>
      </c>
      <c r="B178" s="16">
        <v>45831</v>
      </c>
      <c r="C178" t="s">
        <v>17</v>
      </c>
      <c r="D178" t="s">
        <v>31</v>
      </c>
      <c r="E178" t="s">
        <v>27</v>
      </c>
      <c r="F178" t="s">
        <v>19</v>
      </c>
      <c r="G178" t="s">
        <v>36</v>
      </c>
      <c r="H178" s="2">
        <v>182.01</v>
      </c>
      <c r="I178">
        <v>20</v>
      </c>
      <c r="J178" s="2">
        <v>3640.2</v>
      </c>
    </row>
    <row r="179" spans="1:10" x14ac:dyDescent="0.25">
      <c r="A179" t="s">
        <v>215</v>
      </c>
      <c r="B179" s="16">
        <v>46003</v>
      </c>
      <c r="C179" t="s">
        <v>38</v>
      </c>
      <c r="D179" t="s">
        <v>35</v>
      </c>
      <c r="E179" t="s">
        <v>27</v>
      </c>
      <c r="F179" t="s">
        <v>28</v>
      </c>
      <c r="G179" t="s">
        <v>36</v>
      </c>
      <c r="H179" s="2">
        <v>115.08</v>
      </c>
      <c r="I179">
        <v>18</v>
      </c>
      <c r="J179" s="2">
        <v>2071.44</v>
      </c>
    </row>
    <row r="180" spans="1:10" x14ac:dyDescent="0.25">
      <c r="A180" t="s">
        <v>216</v>
      </c>
      <c r="B180" s="16">
        <v>45935</v>
      </c>
      <c r="C180" t="s">
        <v>25</v>
      </c>
      <c r="D180" t="s">
        <v>22</v>
      </c>
      <c r="E180" t="s">
        <v>23</v>
      </c>
      <c r="F180" t="s">
        <v>28</v>
      </c>
      <c r="G180" t="s">
        <v>20</v>
      </c>
      <c r="H180" s="2">
        <v>236.08</v>
      </c>
      <c r="I180">
        <v>2</v>
      </c>
      <c r="J180" s="2">
        <v>472.16</v>
      </c>
    </row>
    <row r="181" spans="1:10" x14ac:dyDescent="0.25">
      <c r="A181" t="s">
        <v>217</v>
      </c>
      <c r="B181" s="16">
        <v>45805</v>
      </c>
      <c r="C181" t="s">
        <v>17</v>
      </c>
      <c r="D181" t="s">
        <v>22</v>
      </c>
      <c r="E181" t="s">
        <v>41</v>
      </c>
      <c r="F181" t="s">
        <v>19</v>
      </c>
      <c r="G181" t="s">
        <v>20</v>
      </c>
      <c r="H181" s="2">
        <v>60.25</v>
      </c>
      <c r="I181">
        <v>8</v>
      </c>
      <c r="J181" s="2">
        <v>482</v>
      </c>
    </row>
    <row r="182" spans="1:10" x14ac:dyDescent="0.25">
      <c r="A182" t="s">
        <v>218</v>
      </c>
      <c r="B182" s="16">
        <v>46018</v>
      </c>
      <c r="C182" t="s">
        <v>38</v>
      </c>
      <c r="D182" t="s">
        <v>26</v>
      </c>
      <c r="E182" t="s">
        <v>27</v>
      </c>
      <c r="F182" t="s">
        <v>32</v>
      </c>
      <c r="G182" t="s">
        <v>15</v>
      </c>
      <c r="H182" s="2">
        <v>105.03</v>
      </c>
      <c r="I182">
        <v>4</v>
      </c>
      <c r="J182" s="2">
        <v>420.12</v>
      </c>
    </row>
    <row r="183" spans="1:10" x14ac:dyDescent="0.25">
      <c r="A183" t="s">
        <v>219</v>
      </c>
      <c r="B183" s="16">
        <v>45681</v>
      </c>
      <c r="C183" t="s">
        <v>11</v>
      </c>
      <c r="D183" t="s">
        <v>35</v>
      </c>
      <c r="E183" t="s">
        <v>13</v>
      </c>
      <c r="F183" t="s">
        <v>32</v>
      </c>
      <c r="G183" t="s">
        <v>36</v>
      </c>
      <c r="H183" s="2">
        <v>54.96</v>
      </c>
      <c r="I183">
        <v>11</v>
      </c>
      <c r="J183" s="2">
        <v>604.55999999999995</v>
      </c>
    </row>
    <row r="184" spans="1:10" x14ac:dyDescent="0.25">
      <c r="A184" t="s">
        <v>220</v>
      </c>
      <c r="B184" s="16">
        <v>45732</v>
      </c>
      <c r="C184" t="s">
        <v>25</v>
      </c>
      <c r="D184" t="s">
        <v>31</v>
      </c>
      <c r="E184" t="s">
        <v>18</v>
      </c>
      <c r="F184" t="s">
        <v>28</v>
      </c>
      <c r="G184" t="s">
        <v>15</v>
      </c>
      <c r="H184" s="2">
        <v>233.43</v>
      </c>
      <c r="I184">
        <v>8</v>
      </c>
      <c r="J184" s="2">
        <v>1867.44</v>
      </c>
    </row>
    <row r="185" spans="1:10" x14ac:dyDescent="0.25">
      <c r="A185" t="s">
        <v>221</v>
      </c>
      <c r="B185" s="16">
        <v>45745</v>
      </c>
      <c r="C185" t="s">
        <v>11</v>
      </c>
      <c r="D185" t="s">
        <v>55</v>
      </c>
      <c r="E185" t="s">
        <v>41</v>
      </c>
      <c r="F185" t="s">
        <v>42</v>
      </c>
      <c r="G185" t="s">
        <v>20</v>
      </c>
      <c r="H185" s="2">
        <v>223.01</v>
      </c>
      <c r="I185">
        <v>6</v>
      </c>
      <c r="J185" s="2">
        <v>1338.06</v>
      </c>
    </row>
    <row r="186" spans="1:10" x14ac:dyDescent="0.25">
      <c r="A186" t="s">
        <v>222</v>
      </c>
      <c r="B186" s="16">
        <v>45781</v>
      </c>
      <c r="C186" t="s">
        <v>25</v>
      </c>
      <c r="D186" t="s">
        <v>26</v>
      </c>
      <c r="E186" t="s">
        <v>23</v>
      </c>
      <c r="F186" t="s">
        <v>61</v>
      </c>
      <c r="G186" t="s">
        <v>20</v>
      </c>
      <c r="H186" s="2">
        <v>86.75</v>
      </c>
      <c r="I186">
        <v>16</v>
      </c>
      <c r="J186" s="2">
        <v>1388</v>
      </c>
    </row>
    <row r="187" spans="1:10" x14ac:dyDescent="0.25">
      <c r="A187" t="s">
        <v>223</v>
      </c>
      <c r="B187" s="16">
        <v>45788</v>
      </c>
      <c r="C187" t="s">
        <v>34</v>
      </c>
      <c r="D187" t="s">
        <v>12</v>
      </c>
      <c r="E187" t="s">
        <v>45</v>
      </c>
      <c r="F187" t="s">
        <v>39</v>
      </c>
      <c r="G187" t="s">
        <v>36</v>
      </c>
      <c r="H187" s="2">
        <v>175.2</v>
      </c>
      <c r="I187">
        <v>15</v>
      </c>
      <c r="J187" s="2">
        <v>2628</v>
      </c>
    </row>
    <row r="188" spans="1:10" x14ac:dyDescent="0.25">
      <c r="A188" t="s">
        <v>224</v>
      </c>
      <c r="B188" s="16">
        <v>45805</v>
      </c>
      <c r="C188" t="s">
        <v>30</v>
      </c>
      <c r="D188" t="s">
        <v>22</v>
      </c>
      <c r="E188" t="s">
        <v>41</v>
      </c>
      <c r="F188" t="s">
        <v>32</v>
      </c>
      <c r="G188" t="s">
        <v>20</v>
      </c>
      <c r="H188" s="2">
        <v>209.79</v>
      </c>
      <c r="I188">
        <v>18</v>
      </c>
      <c r="J188" s="2">
        <v>3776.22</v>
      </c>
    </row>
    <row r="189" spans="1:10" x14ac:dyDescent="0.25">
      <c r="A189" t="s">
        <v>225</v>
      </c>
      <c r="B189" s="16">
        <v>45811</v>
      </c>
      <c r="C189" t="s">
        <v>17</v>
      </c>
      <c r="D189" t="s">
        <v>35</v>
      </c>
      <c r="E189" t="s">
        <v>41</v>
      </c>
      <c r="F189" t="s">
        <v>39</v>
      </c>
      <c r="G189" t="s">
        <v>36</v>
      </c>
      <c r="H189" s="2">
        <v>152.13999999999999</v>
      </c>
      <c r="I189">
        <v>14</v>
      </c>
      <c r="J189" s="2">
        <v>2129.96</v>
      </c>
    </row>
    <row r="190" spans="1:10" x14ac:dyDescent="0.25">
      <c r="A190" t="s">
        <v>226</v>
      </c>
      <c r="B190" s="16">
        <v>45759</v>
      </c>
      <c r="C190" t="s">
        <v>38</v>
      </c>
      <c r="D190" t="s">
        <v>22</v>
      </c>
      <c r="E190" t="s">
        <v>23</v>
      </c>
      <c r="F190" t="s">
        <v>61</v>
      </c>
      <c r="G190" t="s">
        <v>20</v>
      </c>
      <c r="H190" s="2">
        <v>146.52000000000001</v>
      </c>
      <c r="I190">
        <v>13</v>
      </c>
      <c r="J190" s="2">
        <v>1904.76</v>
      </c>
    </row>
    <row r="191" spans="1:10" x14ac:dyDescent="0.25">
      <c r="A191" t="s">
        <v>227</v>
      </c>
      <c r="B191" s="16">
        <v>45841</v>
      </c>
      <c r="C191" t="s">
        <v>34</v>
      </c>
      <c r="D191" t="s">
        <v>12</v>
      </c>
      <c r="E191" t="s">
        <v>13</v>
      </c>
      <c r="F191" t="s">
        <v>19</v>
      </c>
      <c r="G191" t="s">
        <v>20</v>
      </c>
      <c r="H191" s="2">
        <v>83.21</v>
      </c>
      <c r="I191">
        <v>19</v>
      </c>
      <c r="J191" s="2">
        <v>1580.99</v>
      </c>
    </row>
    <row r="192" spans="1:10" x14ac:dyDescent="0.25">
      <c r="A192" t="s">
        <v>228</v>
      </c>
      <c r="B192" s="16">
        <v>45860</v>
      </c>
      <c r="C192" t="s">
        <v>11</v>
      </c>
      <c r="D192" t="s">
        <v>55</v>
      </c>
      <c r="E192" t="s">
        <v>27</v>
      </c>
      <c r="F192" t="s">
        <v>39</v>
      </c>
      <c r="G192" t="s">
        <v>20</v>
      </c>
      <c r="H192" s="2">
        <v>50.48</v>
      </c>
      <c r="I192">
        <v>9</v>
      </c>
      <c r="J192" s="2">
        <v>454.32</v>
      </c>
    </row>
    <row r="193" spans="1:10" x14ac:dyDescent="0.25">
      <c r="A193" t="s">
        <v>229</v>
      </c>
      <c r="B193" s="16">
        <v>45683</v>
      </c>
      <c r="C193" t="s">
        <v>17</v>
      </c>
      <c r="D193" t="s">
        <v>31</v>
      </c>
      <c r="E193" t="s">
        <v>13</v>
      </c>
      <c r="F193" t="s">
        <v>39</v>
      </c>
      <c r="G193" t="s">
        <v>15</v>
      </c>
      <c r="H193" s="2">
        <v>227.39</v>
      </c>
      <c r="I193">
        <v>20</v>
      </c>
      <c r="J193" s="2">
        <v>4547.8</v>
      </c>
    </row>
    <row r="194" spans="1:10" x14ac:dyDescent="0.25">
      <c r="A194" t="s">
        <v>230</v>
      </c>
      <c r="B194" s="16">
        <v>45968</v>
      </c>
      <c r="C194" t="s">
        <v>30</v>
      </c>
      <c r="D194" t="s">
        <v>12</v>
      </c>
      <c r="E194" t="s">
        <v>23</v>
      </c>
      <c r="F194" t="s">
        <v>42</v>
      </c>
      <c r="G194" t="s">
        <v>36</v>
      </c>
      <c r="H194" s="2">
        <v>228.09</v>
      </c>
      <c r="I194">
        <v>12</v>
      </c>
      <c r="J194" s="2">
        <v>2737.08</v>
      </c>
    </row>
    <row r="195" spans="1:10" x14ac:dyDescent="0.25">
      <c r="A195" t="s">
        <v>231</v>
      </c>
      <c r="B195" s="16">
        <v>46005</v>
      </c>
      <c r="C195" t="s">
        <v>17</v>
      </c>
      <c r="D195" t="s">
        <v>22</v>
      </c>
      <c r="E195" t="s">
        <v>27</v>
      </c>
      <c r="F195" t="s">
        <v>28</v>
      </c>
      <c r="G195" t="s">
        <v>15</v>
      </c>
      <c r="H195" s="2">
        <v>169.28</v>
      </c>
      <c r="I195">
        <v>5</v>
      </c>
      <c r="J195" s="2">
        <v>846.4</v>
      </c>
    </row>
    <row r="196" spans="1:10" x14ac:dyDescent="0.25">
      <c r="A196" t="s">
        <v>232</v>
      </c>
      <c r="B196" s="16">
        <v>45816</v>
      </c>
      <c r="C196" t="s">
        <v>11</v>
      </c>
      <c r="D196" t="s">
        <v>55</v>
      </c>
      <c r="E196" t="s">
        <v>13</v>
      </c>
      <c r="F196" t="s">
        <v>28</v>
      </c>
      <c r="G196" t="s">
        <v>15</v>
      </c>
      <c r="H196" s="2">
        <v>104.59</v>
      </c>
      <c r="I196">
        <v>15</v>
      </c>
      <c r="J196" s="2">
        <v>1568.85</v>
      </c>
    </row>
    <row r="197" spans="1:10" x14ac:dyDescent="0.25">
      <c r="A197" t="s">
        <v>233</v>
      </c>
      <c r="B197" s="16">
        <v>45704</v>
      </c>
      <c r="C197" t="s">
        <v>34</v>
      </c>
      <c r="D197" t="s">
        <v>12</v>
      </c>
      <c r="E197" t="s">
        <v>41</v>
      </c>
      <c r="F197" t="s">
        <v>14</v>
      </c>
      <c r="G197" t="s">
        <v>15</v>
      </c>
      <c r="H197" s="2">
        <v>106.83</v>
      </c>
      <c r="I197">
        <v>10</v>
      </c>
      <c r="J197" s="2">
        <v>1068.3</v>
      </c>
    </row>
    <row r="198" spans="1:10" x14ac:dyDescent="0.25">
      <c r="A198" t="s">
        <v>234</v>
      </c>
      <c r="B198" s="16">
        <v>45725</v>
      </c>
      <c r="C198" t="s">
        <v>34</v>
      </c>
      <c r="D198" t="s">
        <v>55</v>
      </c>
      <c r="E198" t="s">
        <v>18</v>
      </c>
      <c r="F198" t="s">
        <v>32</v>
      </c>
      <c r="G198" t="s">
        <v>15</v>
      </c>
      <c r="H198" s="2">
        <v>189.71</v>
      </c>
      <c r="I198">
        <v>18</v>
      </c>
      <c r="J198" s="2">
        <v>3414.78</v>
      </c>
    </row>
    <row r="199" spans="1:10" x14ac:dyDescent="0.25">
      <c r="A199" t="s">
        <v>235</v>
      </c>
      <c r="B199" s="16">
        <v>45789</v>
      </c>
      <c r="C199" t="s">
        <v>34</v>
      </c>
      <c r="D199" t="s">
        <v>12</v>
      </c>
      <c r="E199" t="s">
        <v>13</v>
      </c>
      <c r="F199" t="s">
        <v>39</v>
      </c>
      <c r="G199" t="s">
        <v>15</v>
      </c>
      <c r="H199" s="2">
        <v>227.36</v>
      </c>
      <c r="I199">
        <v>16</v>
      </c>
      <c r="J199" s="2">
        <v>3637.76</v>
      </c>
    </row>
    <row r="200" spans="1:10" x14ac:dyDescent="0.25">
      <c r="A200" t="s">
        <v>236</v>
      </c>
      <c r="B200" s="16">
        <v>45897</v>
      </c>
      <c r="C200" t="s">
        <v>30</v>
      </c>
      <c r="D200" t="s">
        <v>26</v>
      </c>
      <c r="E200" t="s">
        <v>27</v>
      </c>
      <c r="F200" t="s">
        <v>28</v>
      </c>
      <c r="G200" t="s">
        <v>20</v>
      </c>
      <c r="H200" s="2">
        <v>225.16</v>
      </c>
      <c r="I200">
        <v>3</v>
      </c>
      <c r="J200" s="2">
        <v>675.48</v>
      </c>
    </row>
    <row r="201" spans="1:10" x14ac:dyDescent="0.25">
      <c r="A201" t="s">
        <v>237</v>
      </c>
      <c r="B201" s="16">
        <v>45861</v>
      </c>
      <c r="C201" t="s">
        <v>34</v>
      </c>
      <c r="D201" t="s">
        <v>22</v>
      </c>
      <c r="E201" t="s">
        <v>41</v>
      </c>
      <c r="F201" t="s">
        <v>19</v>
      </c>
      <c r="G201" t="s">
        <v>36</v>
      </c>
      <c r="H201" s="2">
        <v>201.57</v>
      </c>
      <c r="I201">
        <v>18</v>
      </c>
      <c r="J201" s="2">
        <v>3628.26</v>
      </c>
    </row>
    <row r="202" spans="1:10" x14ac:dyDescent="0.25">
      <c r="A202" t="s">
        <v>238</v>
      </c>
      <c r="B202" s="16">
        <v>45932</v>
      </c>
      <c r="C202" t="s">
        <v>38</v>
      </c>
      <c r="D202" t="s">
        <v>35</v>
      </c>
      <c r="E202" t="s">
        <v>27</v>
      </c>
      <c r="F202" t="s">
        <v>28</v>
      </c>
      <c r="G202" t="s">
        <v>20</v>
      </c>
      <c r="H202" s="2">
        <v>171.25</v>
      </c>
      <c r="I202">
        <v>4</v>
      </c>
      <c r="J202" s="2">
        <v>685</v>
      </c>
    </row>
    <row r="203" spans="1:10" x14ac:dyDescent="0.25">
      <c r="A203" t="s">
        <v>239</v>
      </c>
      <c r="B203" s="16">
        <v>45792</v>
      </c>
      <c r="C203" t="s">
        <v>38</v>
      </c>
      <c r="D203" t="s">
        <v>12</v>
      </c>
      <c r="E203" t="s">
        <v>13</v>
      </c>
      <c r="F203" t="s">
        <v>19</v>
      </c>
      <c r="G203" t="s">
        <v>20</v>
      </c>
      <c r="H203" s="2">
        <v>48.51</v>
      </c>
      <c r="I203">
        <v>19</v>
      </c>
      <c r="J203" s="2">
        <v>921.69</v>
      </c>
    </row>
    <row r="204" spans="1:10" x14ac:dyDescent="0.25">
      <c r="A204" t="s">
        <v>240</v>
      </c>
      <c r="B204" s="16">
        <v>45777</v>
      </c>
      <c r="C204" t="s">
        <v>11</v>
      </c>
      <c r="D204" t="s">
        <v>55</v>
      </c>
      <c r="E204" t="s">
        <v>18</v>
      </c>
      <c r="F204" t="s">
        <v>32</v>
      </c>
      <c r="G204" t="s">
        <v>20</v>
      </c>
      <c r="H204" s="2">
        <v>65.56</v>
      </c>
      <c r="I204">
        <v>16</v>
      </c>
      <c r="J204" s="2">
        <v>1048.96</v>
      </c>
    </row>
    <row r="205" spans="1:10" x14ac:dyDescent="0.25">
      <c r="A205" t="s">
        <v>241</v>
      </c>
      <c r="B205" s="16">
        <v>45771</v>
      </c>
      <c r="C205" t="s">
        <v>17</v>
      </c>
      <c r="D205" t="s">
        <v>31</v>
      </c>
      <c r="E205" t="s">
        <v>27</v>
      </c>
      <c r="F205" t="s">
        <v>32</v>
      </c>
      <c r="G205" t="s">
        <v>20</v>
      </c>
      <c r="H205" s="2">
        <v>227.68</v>
      </c>
      <c r="I205">
        <v>3</v>
      </c>
      <c r="J205" s="2">
        <v>683.04</v>
      </c>
    </row>
    <row r="206" spans="1:10" x14ac:dyDescent="0.25">
      <c r="A206" t="s">
        <v>242</v>
      </c>
      <c r="B206" s="16">
        <v>45867</v>
      </c>
      <c r="C206" t="s">
        <v>30</v>
      </c>
      <c r="D206" t="s">
        <v>22</v>
      </c>
      <c r="E206" t="s">
        <v>45</v>
      </c>
      <c r="F206" t="s">
        <v>32</v>
      </c>
      <c r="G206" t="s">
        <v>36</v>
      </c>
      <c r="H206" s="2">
        <v>163.41</v>
      </c>
      <c r="I206">
        <v>4</v>
      </c>
      <c r="J206" s="2">
        <v>653.64</v>
      </c>
    </row>
    <row r="207" spans="1:10" x14ac:dyDescent="0.25">
      <c r="A207" t="s">
        <v>243</v>
      </c>
      <c r="B207" s="16">
        <v>45717</v>
      </c>
      <c r="C207" t="s">
        <v>30</v>
      </c>
      <c r="D207" t="s">
        <v>55</v>
      </c>
      <c r="E207" t="s">
        <v>23</v>
      </c>
      <c r="F207" t="s">
        <v>61</v>
      </c>
      <c r="G207" t="s">
        <v>36</v>
      </c>
      <c r="H207" s="2">
        <v>32.020000000000003</v>
      </c>
      <c r="I207">
        <v>4</v>
      </c>
      <c r="J207" s="2">
        <v>128.08000000000001</v>
      </c>
    </row>
    <row r="208" spans="1:10" x14ac:dyDescent="0.25">
      <c r="A208" t="s">
        <v>244</v>
      </c>
      <c r="B208" s="16">
        <v>45847</v>
      </c>
      <c r="C208" t="s">
        <v>38</v>
      </c>
      <c r="D208" t="s">
        <v>55</v>
      </c>
      <c r="E208" t="s">
        <v>27</v>
      </c>
      <c r="F208" t="s">
        <v>28</v>
      </c>
      <c r="G208" t="s">
        <v>15</v>
      </c>
      <c r="H208" s="2">
        <v>52.32</v>
      </c>
      <c r="I208">
        <v>18</v>
      </c>
      <c r="J208" s="2">
        <v>941.76</v>
      </c>
    </row>
    <row r="209" spans="1:10" x14ac:dyDescent="0.25">
      <c r="A209" t="s">
        <v>245</v>
      </c>
      <c r="B209" s="16">
        <v>45870</v>
      </c>
      <c r="C209" t="s">
        <v>38</v>
      </c>
      <c r="D209" t="s">
        <v>55</v>
      </c>
      <c r="E209" t="s">
        <v>41</v>
      </c>
      <c r="F209" t="s">
        <v>32</v>
      </c>
      <c r="G209" t="s">
        <v>15</v>
      </c>
      <c r="H209" s="2">
        <v>175.97</v>
      </c>
      <c r="I209">
        <v>4</v>
      </c>
      <c r="J209" s="2">
        <v>703.88</v>
      </c>
    </row>
    <row r="210" spans="1:10" x14ac:dyDescent="0.25">
      <c r="A210" t="s">
        <v>246</v>
      </c>
      <c r="B210" s="16">
        <v>46011</v>
      </c>
      <c r="C210" t="s">
        <v>30</v>
      </c>
      <c r="D210" t="s">
        <v>31</v>
      </c>
      <c r="E210" t="s">
        <v>41</v>
      </c>
      <c r="F210" t="s">
        <v>14</v>
      </c>
      <c r="G210" t="s">
        <v>36</v>
      </c>
      <c r="H210" s="2">
        <v>31.11</v>
      </c>
      <c r="I210">
        <v>12</v>
      </c>
      <c r="J210" s="2">
        <v>373.32</v>
      </c>
    </row>
    <row r="211" spans="1:10" x14ac:dyDescent="0.25">
      <c r="A211" t="s">
        <v>247</v>
      </c>
      <c r="B211" s="16">
        <v>45708</v>
      </c>
      <c r="C211" t="s">
        <v>25</v>
      </c>
      <c r="D211" t="s">
        <v>12</v>
      </c>
      <c r="E211" t="s">
        <v>13</v>
      </c>
      <c r="F211" t="s">
        <v>19</v>
      </c>
      <c r="G211" t="s">
        <v>36</v>
      </c>
      <c r="H211" s="2">
        <v>65.38</v>
      </c>
      <c r="I211">
        <v>12</v>
      </c>
      <c r="J211" s="2">
        <v>784.56</v>
      </c>
    </row>
    <row r="212" spans="1:10" x14ac:dyDescent="0.25">
      <c r="A212" t="s">
        <v>248</v>
      </c>
      <c r="B212" s="16">
        <v>45799</v>
      </c>
      <c r="C212" t="s">
        <v>11</v>
      </c>
      <c r="D212" t="s">
        <v>31</v>
      </c>
      <c r="E212" t="s">
        <v>45</v>
      </c>
      <c r="F212" t="s">
        <v>28</v>
      </c>
      <c r="G212" t="s">
        <v>15</v>
      </c>
      <c r="H212" s="2">
        <v>150.72</v>
      </c>
      <c r="I212">
        <v>7</v>
      </c>
      <c r="J212" s="2">
        <v>1055.04</v>
      </c>
    </row>
    <row r="213" spans="1:10" x14ac:dyDescent="0.25">
      <c r="A213" t="s">
        <v>249</v>
      </c>
      <c r="B213" s="16">
        <v>45986</v>
      </c>
      <c r="C213" t="s">
        <v>11</v>
      </c>
      <c r="D213" t="s">
        <v>22</v>
      </c>
      <c r="E213" t="s">
        <v>13</v>
      </c>
      <c r="F213" t="s">
        <v>14</v>
      </c>
      <c r="G213" t="s">
        <v>15</v>
      </c>
      <c r="H213" s="2">
        <v>182.22</v>
      </c>
      <c r="I213">
        <v>20</v>
      </c>
      <c r="J213" s="2">
        <v>3644.4</v>
      </c>
    </row>
    <row r="214" spans="1:10" x14ac:dyDescent="0.25">
      <c r="A214" t="s">
        <v>250</v>
      </c>
      <c r="B214" s="16">
        <v>45947</v>
      </c>
      <c r="C214" t="s">
        <v>11</v>
      </c>
      <c r="D214" t="s">
        <v>55</v>
      </c>
      <c r="E214" t="s">
        <v>23</v>
      </c>
      <c r="F214" t="s">
        <v>42</v>
      </c>
      <c r="G214" t="s">
        <v>15</v>
      </c>
      <c r="H214" s="2">
        <v>173.43</v>
      </c>
      <c r="I214">
        <v>7</v>
      </c>
      <c r="J214" s="2">
        <v>1214.01</v>
      </c>
    </row>
    <row r="215" spans="1:10" x14ac:dyDescent="0.25">
      <c r="A215" t="s">
        <v>251</v>
      </c>
      <c r="B215" s="16">
        <v>45777</v>
      </c>
      <c r="C215" t="s">
        <v>30</v>
      </c>
      <c r="D215" t="s">
        <v>55</v>
      </c>
      <c r="E215" t="s">
        <v>45</v>
      </c>
      <c r="F215" t="s">
        <v>32</v>
      </c>
      <c r="G215" t="s">
        <v>15</v>
      </c>
      <c r="H215" s="2">
        <v>79.34</v>
      </c>
      <c r="I215">
        <v>11</v>
      </c>
      <c r="J215" s="2">
        <v>872.74</v>
      </c>
    </row>
    <row r="216" spans="1:10" x14ac:dyDescent="0.25">
      <c r="A216" t="s">
        <v>252</v>
      </c>
      <c r="B216" s="16">
        <v>45724</v>
      </c>
      <c r="C216" t="s">
        <v>34</v>
      </c>
      <c r="D216" t="s">
        <v>26</v>
      </c>
      <c r="E216" t="s">
        <v>45</v>
      </c>
      <c r="F216" t="s">
        <v>28</v>
      </c>
      <c r="G216" t="s">
        <v>15</v>
      </c>
      <c r="H216" s="2">
        <v>186.68</v>
      </c>
      <c r="I216">
        <v>18</v>
      </c>
      <c r="J216" s="2">
        <v>3360.24</v>
      </c>
    </row>
    <row r="217" spans="1:10" x14ac:dyDescent="0.25">
      <c r="A217" t="s">
        <v>253</v>
      </c>
      <c r="B217" s="16">
        <v>45725</v>
      </c>
      <c r="C217" t="s">
        <v>34</v>
      </c>
      <c r="D217" t="s">
        <v>26</v>
      </c>
      <c r="E217" t="s">
        <v>18</v>
      </c>
      <c r="F217" t="s">
        <v>32</v>
      </c>
      <c r="G217" t="s">
        <v>15</v>
      </c>
      <c r="H217" s="2">
        <v>82.19</v>
      </c>
      <c r="I217">
        <v>1</v>
      </c>
      <c r="J217" s="2">
        <v>82.19</v>
      </c>
    </row>
    <row r="218" spans="1:10" x14ac:dyDescent="0.25">
      <c r="A218" t="s">
        <v>254</v>
      </c>
      <c r="B218" s="16">
        <v>45747</v>
      </c>
      <c r="C218" t="s">
        <v>11</v>
      </c>
      <c r="D218" t="s">
        <v>26</v>
      </c>
      <c r="E218" t="s">
        <v>27</v>
      </c>
      <c r="F218" t="s">
        <v>61</v>
      </c>
      <c r="G218" t="s">
        <v>20</v>
      </c>
      <c r="H218" s="2">
        <v>101.59</v>
      </c>
      <c r="I218">
        <v>9</v>
      </c>
      <c r="J218" s="2">
        <v>914.31</v>
      </c>
    </row>
    <row r="219" spans="1:10" x14ac:dyDescent="0.25">
      <c r="A219" t="s">
        <v>255</v>
      </c>
      <c r="B219" s="16">
        <v>45716</v>
      </c>
      <c r="C219" t="s">
        <v>38</v>
      </c>
      <c r="D219" t="s">
        <v>31</v>
      </c>
      <c r="E219" t="s">
        <v>13</v>
      </c>
      <c r="F219" t="s">
        <v>42</v>
      </c>
      <c r="G219" t="s">
        <v>20</v>
      </c>
      <c r="H219" s="2">
        <v>194.23</v>
      </c>
      <c r="I219">
        <v>3</v>
      </c>
      <c r="J219" s="2">
        <v>582.69000000000005</v>
      </c>
    </row>
    <row r="220" spans="1:10" x14ac:dyDescent="0.25">
      <c r="A220" t="s">
        <v>256</v>
      </c>
      <c r="B220" s="16">
        <v>45713</v>
      </c>
      <c r="C220" t="s">
        <v>25</v>
      </c>
      <c r="D220" t="s">
        <v>26</v>
      </c>
      <c r="E220" t="s">
        <v>18</v>
      </c>
      <c r="F220" t="s">
        <v>19</v>
      </c>
      <c r="G220" t="s">
        <v>20</v>
      </c>
      <c r="H220" s="2">
        <v>172.92</v>
      </c>
      <c r="I220">
        <v>15</v>
      </c>
      <c r="J220" s="2">
        <v>2593.8000000000002</v>
      </c>
    </row>
    <row r="221" spans="1:10" x14ac:dyDescent="0.25">
      <c r="A221" t="s">
        <v>257</v>
      </c>
      <c r="B221" s="16">
        <v>45995</v>
      </c>
      <c r="C221" t="s">
        <v>34</v>
      </c>
      <c r="D221" t="s">
        <v>31</v>
      </c>
      <c r="E221" t="s">
        <v>27</v>
      </c>
      <c r="F221" t="s">
        <v>19</v>
      </c>
      <c r="G221" t="s">
        <v>15</v>
      </c>
      <c r="H221" s="2">
        <v>216.83</v>
      </c>
      <c r="I221">
        <v>17</v>
      </c>
      <c r="J221" s="2">
        <v>3686.11</v>
      </c>
    </row>
    <row r="222" spans="1:10" x14ac:dyDescent="0.25">
      <c r="A222" t="s">
        <v>258</v>
      </c>
      <c r="B222" s="16">
        <v>45903</v>
      </c>
      <c r="C222" t="s">
        <v>38</v>
      </c>
      <c r="D222" t="s">
        <v>12</v>
      </c>
      <c r="E222" t="s">
        <v>45</v>
      </c>
      <c r="F222" t="s">
        <v>61</v>
      </c>
      <c r="G222" t="s">
        <v>20</v>
      </c>
      <c r="H222" s="2">
        <v>174.67</v>
      </c>
      <c r="I222">
        <v>13</v>
      </c>
      <c r="J222" s="2">
        <v>2270.71</v>
      </c>
    </row>
    <row r="223" spans="1:10" x14ac:dyDescent="0.25">
      <c r="A223" t="s">
        <v>259</v>
      </c>
      <c r="B223" s="16">
        <v>45885</v>
      </c>
      <c r="C223" t="s">
        <v>11</v>
      </c>
      <c r="D223" t="s">
        <v>35</v>
      </c>
      <c r="E223" t="s">
        <v>18</v>
      </c>
      <c r="F223" t="s">
        <v>14</v>
      </c>
      <c r="G223" t="s">
        <v>15</v>
      </c>
      <c r="H223" s="2">
        <v>155.03</v>
      </c>
      <c r="I223">
        <v>3</v>
      </c>
      <c r="J223" s="2">
        <v>465.09</v>
      </c>
    </row>
    <row r="224" spans="1:10" x14ac:dyDescent="0.25">
      <c r="A224" t="s">
        <v>260</v>
      </c>
      <c r="B224" s="16">
        <v>45722</v>
      </c>
      <c r="C224" t="s">
        <v>25</v>
      </c>
      <c r="D224" t="s">
        <v>12</v>
      </c>
      <c r="E224" t="s">
        <v>18</v>
      </c>
      <c r="F224" t="s">
        <v>42</v>
      </c>
      <c r="G224" t="s">
        <v>20</v>
      </c>
      <c r="H224" s="2">
        <v>50.61</v>
      </c>
      <c r="I224">
        <v>9</v>
      </c>
      <c r="J224" s="2">
        <v>455.49</v>
      </c>
    </row>
    <row r="225" spans="1:10" x14ac:dyDescent="0.25">
      <c r="A225" t="s">
        <v>261</v>
      </c>
      <c r="B225" s="16">
        <v>45824</v>
      </c>
      <c r="C225" t="s">
        <v>25</v>
      </c>
      <c r="D225" t="s">
        <v>55</v>
      </c>
      <c r="E225" t="s">
        <v>13</v>
      </c>
      <c r="F225" t="s">
        <v>61</v>
      </c>
      <c r="G225" t="s">
        <v>20</v>
      </c>
      <c r="H225" s="2">
        <v>110.9</v>
      </c>
      <c r="I225">
        <v>13</v>
      </c>
      <c r="J225" s="2">
        <v>1441.7</v>
      </c>
    </row>
    <row r="226" spans="1:10" x14ac:dyDescent="0.25">
      <c r="A226" t="s">
        <v>262</v>
      </c>
      <c r="B226" s="16">
        <v>45967</v>
      </c>
      <c r="C226" t="s">
        <v>11</v>
      </c>
      <c r="D226" t="s">
        <v>12</v>
      </c>
      <c r="E226" t="s">
        <v>45</v>
      </c>
      <c r="F226" t="s">
        <v>39</v>
      </c>
      <c r="G226" t="s">
        <v>20</v>
      </c>
      <c r="H226" s="2">
        <v>88.34</v>
      </c>
      <c r="I226">
        <v>14</v>
      </c>
      <c r="J226" s="2">
        <v>1236.76</v>
      </c>
    </row>
    <row r="227" spans="1:10" x14ac:dyDescent="0.25">
      <c r="A227" t="s">
        <v>263</v>
      </c>
      <c r="B227" s="16">
        <v>45991</v>
      </c>
      <c r="C227" t="s">
        <v>17</v>
      </c>
      <c r="D227" t="s">
        <v>26</v>
      </c>
      <c r="E227" t="s">
        <v>41</v>
      </c>
      <c r="F227" t="s">
        <v>61</v>
      </c>
      <c r="G227" t="s">
        <v>15</v>
      </c>
      <c r="H227" s="2">
        <v>83.68</v>
      </c>
      <c r="I227">
        <v>18</v>
      </c>
      <c r="J227" s="2">
        <v>1506.24</v>
      </c>
    </row>
    <row r="228" spans="1:10" x14ac:dyDescent="0.25">
      <c r="A228" t="s">
        <v>264</v>
      </c>
      <c r="B228" s="16">
        <v>45869</v>
      </c>
      <c r="C228" t="s">
        <v>38</v>
      </c>
      <c r="D228" t="s">
        <v>31</v>
      </c>
      <c r="E228" t="s">
        <v>41</v>
      </c>
      <c r="F228" t="s">
        <v>28</v>
      </c>
      <c r="G228" t="s">
        <v>15</v>
      </c>
      <c r="H228" s="2">
        <v>244.06</v>
      </c>
      <c r="I228">
        <v>11</v>
      </c>
      <c r="J228" s="2">
        <v>2684.66</v>
      </c>
    </row>
    <row r="229" spans="1:10" x14ac:dyDescent="0.25">
      <c r="A229" t="s">
        <v>265</v>
      </c>
      <c r="B229" s="16">
        <v>45818</v>
      </c>
      <c r="C229" t="s">
        <v>34</v>
      </c>
      <c r="D229" t="s">
        <v>12</v>
      </c>
      <c r="E229" t="s">
        <v>13</v>
      </c>
      <c r="F229" t="s">
        <v>32</v>
      </c>
      <c r="G229" t="s">
        <v>15</v>
      </c>
      <c r="H229" s="2">
        <v>116.48</v>
      </c>
      <c r="I229">
        <v>14</v>
      </c>
      <c r="J229" s="2">
        <v>1630.72</v>
      </c>
    </row>
    <row r="230" spans="1:10" x14ac:dyDescent="0.25">
      <c r="A230" t="s">
        <v>266</v>
      </c>
      <c r="B230" s="16">
        <v>46009</v>
      </c>
      <c r="C230" t="s">
        <v>11</v>
      </c>
      <c r="D230" t="s">
        <v>22</v>
      </c>
      <c r="E230" t="s">
        <v>45</v>
      </c>
      <c r="F230" t="s">
        <v>19</v>
      </c>
      <c r="G230" t="s">
        <v>36</v>
      </c>
      <c r="H230" s="2">
        <v>226.25</v>
      </c>
      <c r="I230">
        <v>16</v>
      </c>
      <c r="J230" s="2">
        <v>3620</v>
      </c>
    </row>
    <row r="231" spans="1:10" x14ac:dyDescent="0.25">
      <c r="A231" t="s">
        <v>267</v>
      </c>
      <c r="B231" s="16">
        <v>45707</v>
      </c>
      <c r="C231" t="s">
        <v>30</v>
      </c>
      <c r="D231" t="s">
        <v>55</v>
      </c>
      <c r="E231" t="s">
        <v>45</v>
      </c>
      <c r="F231" t="s">
        <v>42</v>
      </c>
      <c r="G231" t="s">
        <v>20</v>
      </c>
      <c r="H231" s="2">
        <v>168.85</v>
      </c>
      <c r="I231">
        <v>12</v>
      </c>
      <c r="J231" s="2">
        <v>2026.2</v>
      </c>
    </row>
    <row r="232" spans="1:10" x14ac:dyDescent="0.25">
      <c r="A232" t="s">
        <v>268</v>
      </c>
      <c r="B232" s="16">
        <v>45945</v>
      </c>
      <c r="C232" t="s">
        <v>17</v>
      </c>
      <c r="D232" t="s">
        <v>22</v>
      </c>
      <c r="E232" t="s">
        <v>41</v>
      </c>
      <c r="F232" t="s">
        <v>32</v>
      </c>
      <c r="G232" t="s">
        <v>20</v>
      </c>
      <c r="H232" s="2">
        <v>204.86</v>
      </c>
      <c r="I232">
        <v>11</v>
      </c>
      <c r="J232" s="2">
        <v>2253.46</v>
      </c>
    </row>
    <row r="233" spans="1:10" x14ac:dyDescent="0.25">
      <c r="A233" t="s">
        <v>269</v>
      </c>
      <c r="B233" s="16">
        <v>45874</v>
      </c>
      <c r="C233" t="s">
        <v>34</v>
      </c>
      <c r="D233" t="s">
        <v>55</v>
      </c>
      <c r="E233" t="s">
        <v>13</v>
      </c>
      <c r="F233" t="s">
        <v>32</v>
      </c>
      <c r="G233" t="s">
        <v>15</v>
      </c>
      <c r="H233" s="2">
        <v>140.58000000000001</v>
      </c>
      <c r="I233">
        <v>2</v>
      </c>
      <c r="J233" s="2">
        <v>281.16000000000003</v>
      </c>
    </row>
    <row r="234" spans="1:10" x14ac:dyDescent="0.25">
      <c r="A234" t="s">
        <v>270</v>
      </c>
      <c r="B234" s="16">
        <v>45953</v>
      </c>
      <c r="C234" t="s">
        <v>30</v>
      </c>
      <c r="D234" t="s">
        <v>26</v>
      </c>
      <c r="E234" t="s">
        <v>27</v>
      </c>
      <c r="F234" t="s">
        <v>61</v>
      </c>
      <c r="G234" t="s">
        <v>15</v>
      </c>
      <c r="H234" s="2">
        <v>156.91999999999999</v>
      </c>
      <c r="I234">
        <v>17</v>
      </c>
      <c r="J234" s="2">
        <v>2667.64</v>
      </c>
    </row>
    <row r="235" spans="1:10" x14ac:dyDescent="0.25">
      <c r="A235" t="s">
        <v>271</v>
      </c>
      <c r="B235" s="16">
        <v>45713</v>
      </c>
      <c r="C235" t="s">
        <v>25</v>
      </c>
      <c r="D235" t="s">
        <v>35</v>
      </c>
      <c r="E235" t="s">
        <v>45</v>
      </c>
      <c r="F235" t="s">
        <v>39</v>
      </c>
      <c r="G235" t="s">
        <v>36</v>
      </c>
      <c r="H235" s="2">
        <v>138.35</v>
      </c>
      <c r="I235">
        <v>12</v>
      </c>
      <c r="J235" s="2">
        <v>1660.2</v>
      </c>
    </row>
    <row r="236" spans="1:10" x14ac:dyDescent="0.25">
      <c r="A236" t="s">
        <v>272</v>
      </c>
      <c r="B236" s="16">
        <v>45951</v>
      </c>
      <c r="C236" t="s">
        <v>38</v>
      </c>
      <c r="D236" t="s">
        <v>55</v>
      </c>
      <c r="E236" t="s">
        <v>18</v>
      </c>
      <c r="F236" t="s">
        <v>42</v>
      </c>
      <c r="G236" t="s">
        <v>20</v>
      </c>
      <c r="H236" s="2">
        <v>72.95</v>
      </c>
      <c r="I236">
        <v>8</v>
      </c>
      <c r="J236" s="2">
        <v>583.6</v>
      </c>
    </row>
    <row r="237" spans="1:10" x14ac:dyDescent="0.25">
      <c r="A237" t="s">
        <v>273</v>
      </c>
      <c r="B237" s="16">
        <v>45987</v>
      </c>
      <c r="C237" t="s">
        <v>11</v>
      </c>
      <c r="D237" t="s">
        <v>55</v>
      </c>
      <c r="E237" t="s">
        <v>27</v>
      </c>
      <c r="F237" t="s">
        <v>39</v>
      </c>
      <c r="G237" t="s">
        <v>20</v>
      </c>
      <c r="H237" s="2">
        <v>188.94</v>
      </c>
      <c r="I237">
        <v>18</v>
      </c>
      <c r="J237" s="2">
        <v>3400.92</v>
      </c>
    </row>
    <row r="238" spans="1:10" x14ac:dyDescent="0.25">
      <c r="A238" t="s">
        <v>274</v>
      </c>
      <c r="B238" s="16">
        <v>45794</v>
      </c>
      <c r="C238" t="s">
        <v>30</v>
      </c>
      <c r="D238" t="s">
        <v>35</v>
      </c>
      <c r="E238" t="s">
        <v>27</v>
      </c>
      <c r="F238" t="s">
        <v>39</v>
      </c>
      <c r="G238" t="s">
        <v>36</v>
      </c>
      <c r="H238" s="2">
        <v>91.77</v>
      </c>
      <c r="I238">
        <v>1</v>
      </c>
      <c r="J238" s="2">
        <v>91.77</v>
      </c>
    </row>
    <row r="239" spans="1:10" x14ac:dyDescent="0.25">
      <c r="A239" t="s">
        <v>275</v>
      </c>
      <c r="B239" s="16">
        <v>45831</v>
      </c>
      <c r="C239" t="s">
        <v>11</v>
      </c>
      <c r="D239" t="s">
        <v>26</v>
      </c>
      <c r="E239" t="s">
        <v>23</v>
      </c>
      <c r="F239" t="s">
        <v>42</v>
      </c>
      <c r="G239" t="s">
        <v>20</v>
      </c>
      <c r="H239" s="2">
        <v>35.35</v>
      </c>
      <c r="I239">
        <v>12</v>
      </c>
      <c r="J239" s="2">
        <v>424.2</v>
      </c>
    </row>
    <row r="240" spans="1:10" x14ac:dyDescent="0.25">
      <c r="A240" t="s">
        <v>276</v>
      </c>
      <c r="B240" s="16">
        <v>45863</v>
      </c>
      <c r="C240" t="s">
        <v>30</v>
      </c>
      <c r="D240" t="s">
        <v>12</v>
      </c>
      <c r="E240" t="s">
        <v>27</v>
      </c>
      <c r="F240" t="s">
        <v>19</v>
      </c>
      <c r="G240" t="s">
        <v>15</v>
      </c>
      <c r="H240" s="2">
        <v>172</v>
      </c>
      <c r="I240">
        <v>3</v>
      </c>
      <c r="J240" s="2">
        <v>516</v>
      </c>
    </row>
    <row r="241" spans="1:10" x14ac:dyDescent="0.25">
      <c r="A241" t="s">
        <v>277</v>
      </c>
      <c r="B241" s="16">
        <v>45929</v>
      </c>
      <c r="C241" t="s">
        <v>38</v>
      </c>
      <c r="D241" t="s">
        <v>31</v>
      </c>
      <c r="E241" t="s">
        <v>41</v>
      </c>
      <c r="F241" t="s">
        <v>32</v>
      </c>
      <c r="G241" t="s">
        <v>15</v>
      </c>
      <c r="H241" s="2">
        <v>68.959999999999994</v>
      </c>
      <c r="I241">
        <v>7</v>
      </c>
      <c r="J241" s="2">
        <v>482.72</v>
      </c>
    </row>
    <row r="242" spans="1:10" x14ac:dyDescent="0.25">
      <c r="A242" t="s">
        <v>278</v>
      </c>
      <c r="B242" s="16">
        <v>45847</v>
      </c>
      <c r="C242" t="s">
        <v>17</v>
      </c>
      <c r="D242" t="s">
        <v>35</v>
      </c>
      <c r="E242" t="s">
        <v>18</v>
      </c>
      <c r="F242" t="s">
        <v>42</v>
      </c>
      <c r="G242" t="s">
        <v>15</v>
      </c>
      <c r="H242" s="2">
        <v>236.9</v>
      </c>
      <c r="I242">
        <v>10</v>
      </c>
      <c r="J242" s="2">
        <v>2369</v>
      </c>
    </row>
    <row r="243" spans="1:10" x14ac:dyDescent="0.25">
      <c r="A243" t="s">
        <v>279</v>
      </c>
      <c r="B243" s="16">
        <v>45684</v>
      </c>
      <c r="C243" t="s">
        <v>30</v>
      </c>
      <c r="D243" t="s">
        <v>55</v>
      </c>
      <c r="E243" t="s">
        <v>45</v>
      </c>
      <c r="F243" t="s">
        <v>28</v>
      </c>
      <c r="G243" t="s">
        <v>15</v>
      </c>
      <c r="H243" s="2">
        <v>239.86</v>
      </c>
      <c r="I243">
        <v>5</v>
      </c>
      <c r="J243" s="2">
        <v>1199.3</v>
      </c>
    </row>
    <row r="244" spans="1:10" x14ac:dyDescent="0.25">
      <c r="A244" t="s">
        <v>280</v>
      </c>
      <c r="B244" s="16">
        <v>45797</v>
      </c>
      <c r="C244" t="s">
        <v>17</v>
      </c>
      <c r="D244" t="s">
        <v>31</v>
      </c>
      <c r="E244" t="s">
        <v>41</v>
      </c>
      <c r="F244" t="s">
        <v>42</v>
      </c>
      <c r="G244" t="s">
        <v>36</v>
      </c>
      <c r="H244" s="2">
        <v>231.27</v>
      </c>
      <c r="I244">
        <v>15</v>
      </c>
      <c r="J244" s="2">
        <v>3469.05</v>
      </c>
    </row>
    <row r="245" spans="1:10" x14ac:dyDescent="0.25">
      <c r="A245" t="s">
        <v>281</v>
      </c>
      <c r="B245" s="16">
        <v>45870</v>
      </c>
      <c r="C245" t="s">
        <v>30</v>
      </c>
      <c r="D245" t="s">
        <v>55</v>
      </c>
      <c r="E245" t="s">
        <v>45</v>
      </c>
      <c r="F245" t="s">
        <v>32</v>
      </c>
      <c r="G245" t="s">
        <v>36</v>
      </c>
      <c r="H245" s="2">
        <v>111.43</v>
      </c>
      <c r="I245">
        <v>9</v>
      </c>
      <c r="J245" s="2">
        <v>1002.87</v>
      </c>
    </row>
    <row r="246" spans="1:10" x14ac:dyDescent="0.25">
      <c r="A246" t="s">
        <v>282</v>
      </c>
      <c r="B246" s="16">
        <v>45714</v>
      </c>
      <c r="C246" t="s">
        <v>17</v>
      </c>
      <c r="D246" t="s">
        <v>12</v>
      </c>
      <c r="E246" t="s">
        <v>18</v>
      </c>
      <c r="F246" t="s">
        <v>61</v>
      </c>
      <c r="G246" t="s">
        <v>20</v>
      </c>
      <c r="H246" s="2">
        <v>33.4</v>
      </c>
      <c r="I246">
        <v>10</v>
      </c>
      <c r="J246" s="2">
        <v>334</v>
      </c>
    </row>
    <row r="247" spans="1:10" x14ac:dyDescent="0.25">
      <c r="A247" t="s">
        <v>283</v>
      </c>
      <c r="B247" s="16">
        <v>45999</v>
      </c>
      <c r="C247" t="s">
        <v>11</v>
      </c>
      <c r="D247" t="s">
        <v>26</v>
      </c>
      <c r="E247" t="s">
        <v>41</v>
      </c>
      <c r="F247" t="s">
        <v>42</v>
      </c>
      <c r="G247" t="s">
        <v>15</v>
      </c>
      <c r="H247" s="2">
        <v>234.23</v>
      </c>
      <c r="I247">
        <v>10</v>
      </c>
      <c r="J247" s="2">
        <v>2342.3000000000002</v>
      </c>
    </row>
    <row r="248" spans="1:10" x14ac:dyDescent="0.25">
      <c r="A248" t="s">
        <v>284</v>
      </c>
      <c r="B248" s="16">
        <v>45661</v>
      </c>
      <c r="C248" t="s">
        <v>34</v>
      </c>
      <c r="D248" t="s">
        <v>26</v>
      </c>
      <c r="E248" t="s">
        <v>23</v>
      </c>
      <c r="F248" t="s">
        <v>39</v>
      </c>
      <c r="G248" t="s">
        <v>36</v>
      </c>
      <c r="H248" s="2">
        <v>124.2</v>
      </c>
      <c r="I248">
        <v>7</v>
      </c>
      <c r="J248" s="2">
        <v>869.4</v>
      </c>
    </row>
    <row r="249" spans="1:10" x14ac:dyDescent="0.25">
      <c r="A249" t="s">
        <v>285</v>
      </c>
      <c r="B249" s="16">
        <v>45806</v>
      </c>
      <c r="C249" t="s">
        <v>11</v>
      </c>
      <c r="D249" t="s">
        <v>22</v>
      </c>
      <c r="E249" t="s">
        <v>41</v>
      </c>
      <c r="F249" t="s">
        <v>28</v>
      </c>
      <c r="G249" t="s">
        <v>36</v>
      </c>
      <c r="H249" s="2">
        <v>242.66</v>
      </c>
      <c r="I249">
        <v>11</v>
      </c>
      <c r="J249" s="2">
        <v>2669.26</v>
      </c>
    </row>
    <row r="250" spans="1:10" x14ac:dyDescent="0.25">
      <c r="A250" t="s">
        <v>286</v>
      </c>
      <c r="B250" s="16">
        <v>45747</v>
      </c>
      <c r="C250" t="s">
        <v>38</v>
      </c>
      <c r="D250" t="s">
        <v>55</v>
      </c>
      <c r="E250" t="s">
        <v>27</v>
      </c>
      <c r="F250" t="s">
        <v>14</v>
      </c>
      <c r="G250" t="s">
        <v>20</v>
      </c>
      <c r="H250" s="2">
        <v>242</v>
      </c>
      <c r="I250">
        <v>5</v>
      </c>
      <c r="J250" s="2">
        <v>1210</v>
      </c>
    </row>
    <row r="251" spans="1:10" x14ac:dyDescent="0.25">
      <c r="A251" t="s">
        <v>287</v>
      </c>
      <c r="B251" s="16">
        <v>45944</v>
      </c>
      <c r="C251" t="s">
        <v>11</v>
      </c>
      <c r="D251" t="s">
        <v>31</v>
      </c>
      <c r="E251" t="s">
        <v>27</v>
      </c>
      <c r="F251" t="s">
        <v>19</v>
      </c>
      <c r="G251" t="s">
        <v>36</v>
      </c>
      <c r="H251" s="2">
        <v>217.66</v>
      </c>
      <c r="I251">
        <v>12</v>
      </c>
      <c r="J251" s="2">
        <v>2611.92</v>
      </c>
    </row>
    <row r="252" spans="1:10" x14ac:dyDescent="0.25">
      <c r="A252" t="s">
        <v>288</v>
      </c>
      <c r="B252" s="16">
        <v>45667</v>
      </c>
      <c r="C252" t="s">
        <v>11</v>
      </c>
      <c r="D252" t="s">
        <v>35</v>
      </c>
      <c r="E252" t="s">
        <v>18</v>
      </c>
      <c r="F252" t="s">
        <v>61</v>
      </c>
      <c r="G252" t="s">
        <v>20</v>
      </c>
      <c r="H252" s="2">
        <v>94.78</v>
      </c>
      <c r="I252">
        <v>15</v>
      </c>
      <c r="J252" s="2">
        <v>1421.7</v>
      </c>
    </row>
    <row r="253" spans="1:10" x14ac:dyDescent="0.25">
      <c r="A253" t="s">
        <v>289</v>
      </c>
      <c r="B253" s="16">
        <v>45865</v>
      </c>
      <c r="C253" t="s">
        <v>34</v>
      </c>
      <c r="D253" t="s">
        <v>22</v>
      </c>
      <c r="E253" t="s">
        <v>41</v>
      </c>
      <c r="F253" t="s">
        <v>19</v>
      </c>
      <c r="G253" t="s">
        <v>36</v>
      </c>
      <c r="H253" s="2">
        <v>114.72</v>
      </c>
      <c r="I253">
        <v>14</v>
      </c>
      <c r="J253" s="2">
        <v>1606.08</v>
      </c>
    </row>
    <row r="254" spans="1:10" x14ac:dyDescent="0.25">
      <c r="A254" t="s">
        <v>290</v>
      </c>
      <c r="B254" s="16">
        <v>45745</v>
      </c>
      <c r="C254" t="s">
        <v>38</v>
      </c>
      <c r="D254" t="s">
        <v>12</v>
      </c>
      <c r="E254" t="s">
        <v>13</v>
      </c>
      <c r="F254" t="s">
        <v>19</v>
      </c>
      <c r="G254" t="s">
        <v>36</v>
      </c>
      <c r="H254" s="2">
        <v>217.25</v>
      </c>
      <c r="I254">
        <v>20</v>
      </c>
      <c r="J254" s="2">
        <v>4345</v>
      </c>
    </row>
    <row r="255" spans="1:10" x14ac:dyDescent="0.25">
      <c r="A255" t="s">
        <v>291</v>
      </c>
      <c r="B255" s="16">
        <v>45712</v>
      </c>
      <c r="C255" t="s">
        <v>38</v>
      </c>
      <c r="D255" t="s">
        <v>55</v>
      </c>
      <c r="E255" t="s">
        <v>41</v>
      </c>
      <c r="F255" t="s">
        <v>42</v>
      </c>
      <c r="G255" t="s">
        <v>15</v>
      </c>
      <c r="H255" s="2">
        <v>99.72</v>
      </c>
      <c r="I255">
        <v>8</v>
      </c>
      <c r="J255" s="2">
        <v>797.76</v>
      </c>
    </row>
    <row r="256" spans="1:10" x14ac:dyDescent="0.25">
      <c r="A256" t="s">
        <v>292</v>
      </c>
      <c r="B256" s="16">
        <v>45860</v>
      </c>
      <c r="C256" t="s">
        <v>17</v>
      </c>
      <c r="D256" t="s">
        <v>35</v>
      </c>
      <c r="E256" t="s">
        <v>23</v>
      </c>
      <c r="F256" t="s">
        <v>32</v>
      </c>
      <c r="G256" t="s">
        <v>15</v>
      </c>
      <c r="H256" s="2">
        <v>67.290000000000006</v>
      </c>
      <c r="I256">
        <v>10</v>
      </c>
      <c r="J256" s="2">
        <v>672.9</v>
      </c>
    </row>
    <row r="257" spans="1:10" x14ac:dyDescent="0.25">
      <c r="A257" t="s">
        <v>293</v>
      </c>
      <c r="B257" s="16">
        <v>45697</v>
      </c>
      <c r="C257" t="s">
        <v>17</v>
      </c>
      <c r="D257" t="s">
        <v>22</v>
      </c>
      <c r="E257" t="s">
        <v>18</v>
      </c>
      <c r="F257" t="s">
        <v>42</v>
      </c>
      <c r="G257" t="s">
        <v>15</v>
      </c>
      <c r="H257" s="2">
        <v>152.5</v>
      </c>
      <c r="I257">
        <v>17</v>
      </c>
      <c r="J257" s="2">
        <v>2592.5</v>
      </c>
    </row>
    <row r="258" spans="1:10" x14ac:dyDescent="0.25">
      <c r="A258" t="s">
        <v>294</v>
      </c>
      <c r="B258" s="16">
        <v>45836</v>
      </c>
      <c r="C258" t="s">
        <v>17</v>
      </c>
      <c r="D258" t="s">
        <v>12</v>
      </c>
      <c r="E258" t="s">
        <v>23</v>
      </c>
      <c r="F258" t="s">
        <v>14</v>
      </c>
      <c r="G258" t="s">
        <v>15</v>
      </c>
      <c r="H258" s="2">
        <v>235.95</v>
      </c>
      <c r="I258">
        <v>12</v>
      </c>
      <c r="J258" s="2">
        <v>2831.4</v>
      </c>
    </row>
    <row r="259" spans="1:10" x14ac:dyDescent="0.25">
      <c r="A259" t="s">
        <v>295</v>
      </c>
      <c r="B259" s="16">
        <v>45732</v>
      </c>
      <c r="C259" t="s">
        <v>30</v>
      </c>
      <c r="D259" t="s">
        <v>26</v>
      </c>
      <c r="E259" t="s">
        <v>18</v>
      </c>
      <c r="F259" t="s">
        <v>14</v>
      </c>
      <c r="G259" t="s">
        <v>20</v>
      </c>
      <c r="H259" s="2">
        <v>183.13</v>
      </c>
      <c r="I259">
        <v>9</v>
      </c>
      <c r="J259" s="2">
        <v>1648.17</v>
      </c>
    </row>
    <row r="260" spans="1:10" x14ac:dyDescent="0.25">
      <c r="A260" t="s">
        <v>296</v>
      </c>
      <c r="B260" s="16">
        <v>45696</v>
      </c>
      <c r="C260" t="s">
        <v>17</v>
      </c>
      <c r="D260" t="s">
        <v>31</v>
      </c>
      <c r="E260" t="s">
        <v>41</v>
      </c>
      <c r="F260" t="s">
        <v>39</v>
      </c>
      <c r="G260" t="s">
        <v>20</v>
      </c>
      <c r="H260" s="2">
        <v>155.41</v>
      </c>
      <c r="I260">
        <v>6</v>
      </c>
      <c r="J260" s="2">
        <v>932.46</v>
      </c>
    </row>
    <row r="261" spans="1:10" x14ac:dyDescent="0.25">
      <c r="A261" t="s">
        <v>297</v>
      </c>
      <c r="B261" s="16">
        <v>45954</v>
      </c>
      <c r="C261" t="s">
        <v>17</v>
      </c>
      <c r="D261" t="s">
        <v>55</v>
      </c>
      <c r="E261" t="s">
        <v>27</v>
      </c>
      <c r="F261" t="s">
        <v>28</v>
      </c>
      <c r="G261" t="s">
        <v>20</v>
      </c>
      <c r="H261" s="2">
        <v>51.38</v>
      </c>
      <c r="I261">
        <v>15</v>
      </c>
      <c r="J261" s="2">
        <v>770.7</v>
      </c>
    </row>
    <row r="262" spans="1:10" x14ac:dyDescent="0.25">
      <c r="A262" t="s">
        <v>298</v>
      </c>
      <c r="B262" s="16">
        <v>45823</v>
      </c>
      <c r="C262" t="s">
        <v>30</v>
      </c>
      <c r="D262" t="s">
        <v>31</v>
      </c>
      <c r="E262" t="s">
        <v>45</v>
      </c>
      <c r="F262" t="s">
        <v>61</v>
      </c>
      <c r="G262" t="s">
        <v>36</v>
      </c>
      <c r="H262" s="2">
        <v>165.3</v>
      </c>
      <c r="I262">
        <v>11</v>
      </c>
      <c r="J262" s="2">
        <v>1818.3</v>
      </c>
    </row>
    <row r="263" spans="1:10" x14ac:dyDescent="0.25">
      <c r="A263" t="s">
        <v>299</v>
      </c>
      <c r="B263" s="16">
        <v>45981</v>
      </c>
      <c r="C263" t="s">
        <v>34</v>
      </c>
      <c r="D263" t="s">
        <v>55</v>
      </c>
      <c r="E263" t="s">
        <v>45</v>
      </c>
      <c r="F263" t="s">
        <v>32</v>
      </c>
      <c r="G263" t="s">
        <v>20</v>
      </c>
      <c r="H263" s="2">
        <v>247.81</v>
      </c>
      <c r="I263">
        <v>10</v>
      </c>
      <c r="J263" s="2">
        <v>2478.1</v>
      </c>
    </row>
    <row r="264" spans="1:10" x14ac:dyDescent="0.25">
      <c r="A264" t="s">
        <v>300</v>
      </c>
      <c r="B264" s="16">
        <v>45695</v>
      </c>
      <c r="C264" t="s">
        <v>38</v>
      </c>
      <c r="D264" t="s">
        <v>31</v>
      </c>
      <c r="E264" t="s">
        <v>45</v>
      </c>
      <c r="F264" t="s">
        <v>19</v>
      </c>
      <c r="G264" t="s">
        <v>36</v>
      </c>
      <c r="H264" s="2">
        <v>60.82</v>
      </c>
      <c r="I264">
        <v>10</v>
      </c>
      <c r="J264" s="2">
        <v>608.20000000000005</v>
      </c>
    </row>
    <row r="265" spans="1:10" x14ac:dyDescent="0.25">
      <c r="A265" t="s">
        <v>301</v>
      </c>
      <c r="B265" s="16">
        <v>45804</v>
      </c>
      <c r="C265" t="s">
        <v>17</v>
      </c>
      <c r="D265" t="s">
        <v>22</v>
      </c>
      <c r="E265" t="s">
        <v>18</v>
      </c>
      <c r="F265" t="s">
        <v>42</v>
      </c>
      <c r="G265" t="s">
        <v>20</v>
      </c>
      <c r="H265" s="2">
        <v>144.03</v>
      </c>
      <c r="I265">
        <v>3</v>
      </c>
      <c r="J265" s="2">
        <v>432.09</v>
      </c>
    </row>
    <row r="266" spans="1:10" x14ac:dyDescent="0.25">
      <c r="A266" t="s">
        <v>302</v>
      </c>
      <c r="B266" s="16">
        <v>45854</v>
      </c>
      <c r="C266" t="s">
        <v>25</v>
      </c>
      <c r="D266" t="s">
        <v>55</v>
      </c>
      <c r="E266" t="s">
        <v>27</v>
      </c>
      <c r="F266" t="s">
        <v>19</v>
      </c>
      <c r="G266" t="s">
        <v>36</v>
      </c>
      <c r="H266" s="2">
        <v>223.02</v>
      </c>
      <c r="I266">
        <v>15</v>
      </c>
      <c r="J266" s="2">
        <v>3345.3</v>
      </c>
    </row>
    <row r="267" spans="1:10" x14ac:dyDescent="0.25">
      <c r="A267" t="s">
        <v>303</v>
      </c>
      <c r="B267" s="16">
        <v>45950</v>
      </c>
      <c r="C267" t="s">
        <v>34</v>
      </c>
      <c r="D267" t="s">
        <v>55</v>
      </c>
      <c r="E267" t="s">
        <v>41</v>
      </c>
      <c r="F267" t="s">
        <v>42</v>
      </c>
      <c r="G267" t="s">
        <v>15</v>
      </c>
      <c r="H267" s="2">
        <v>192.97</v>
      </c>
      <c r="I267">
        <v>7</v>
      </c>
      <c r="J267" s="2">
        <v>1350.79</v>
      </c>
    </row>
    <row r="268" spans="1:10" x14ac:dyDescent="0.25">
      <c r="A268" t="s">
        <v>304</v>
      </c>
      <c r="B268" s="16">
        <v>45689</v>
      </c>
      <c r="C268" t="s">
        <v>11</v>
      </c>
      <c r="D268" t="s">
        <v>35</v>
      </c>
      <c r="E268" t="s">
        <v>27</v>
      </c>
      <c r="F268" t="s">
        <v>19</v>
      </c>
      <c r="G268" t="s">
        <v>20</v>
      </c>
      <c r="H268" s="2">
        <v>183.34</v>
      </c>
      <c r="I268">
        <v>15</v>
      </c>
      <c r="J268" s="2">
        <v>2750.1</v>
      </c>
    </row>
    <row r="269" spans="1:10" x14ac:dyDescent="0.25">
      <c r="A269" t="s">
        <v>305</v>
      </c>
      <c r="B269" s="16">
        <v>45988</v>
      </c>
      <c r="C269" t="s">
        <v>11</v>
      </c>
      <c r="D269" t="s">
        <v>26</v>
      </c>
      <c r="E269" t="s">
        <v>27</v>
      </c>
      <c r="F269" t="s">
        <v>61</v>
      </c>
      <c r="G269" t="s">
        <v>36</v>
      </c>
      <c r="H269" s="2">
        <v>184.55</v>
      </c>
      <c r="I269">
        <v>6</v>
      </c>
      <c r="J269" s="2">
        <v>1107.3</v>
      </c>
    </row>
    <row r="270" spans="1:10" x14ac:dyDescent="0.25">
      <c r="A270" t="s">
        <v>306</v>
      </c>
      <c r="B270" s="16">
        <v>45926</v>
      </c>
      <c r="C270" t="s">
        <v>25</v>
      </c>
      <c r="D270" t="s">
        <v>26</v>
      </c>
      <c r="E270" t="s">
        <v>13</v>
      </c>
      <c r="F270" t="s">
        <v>32</v>
      </c>
      <c r="G270" t="s">
        <v>36</v>
      </c>
      <c r="H270" s="2">
        <v>109.09</v>
      </c>
      <c r="I270">
        <v>17</v>
      </c>
      <c r="J270" s="2">
        <v>1854.53</v>
      </c>
    </row>
    <row r="271" spans="1:10" x14ac:dyDescent="0.25">
      <c r="A271" t="s">
        <v>307</v>
      </c>
      <c r="B271" s="16">
        <v>45856</v>
      </c>
      <c r="C271" t="s">
        <v>34</v>
      </c>
      <c r="D271" t="s">
        <v>12</v>
      </c>
      <c r="E271" t="s">
        <v>18</v>
      </c>
      <c r="F271" t="s">
        <v>19</v>
      </c>
      <c r="G271" t="s">
        <v>20</v>
      </c>
      <c r="H271" s="2">
        <v>94.59</v>
      </c>
      <c r="I271">
        <v>14</v>
      </c>
      <c r="J271" s="2">
        <v>1324.26</v>
      </c>
    </row>
    <row r="272" spans="1:10" x14ac:dyDescent="0.25">
      <c r="A272" t="s">
        <v>308</v>
      </c>
      <c r="B272" s="16">
        <v>45989</v>
      </c>
      <c r="C272" t="s">
        <v>11</v>
      </c>
      <c r="D272" t="s">
        <v>35</v>
      </c>
      <c r="E272" t="s">
        <v>45</v>
      </c>
      <c r="F272" t="s">
        <v>42</v>
      </c>
      <c r="G272" t="s">
        <v>20</v>
      </c>
      <c r="H272" s="2">
        <v>208.06</v>
      </c>
      <c r="I272">
        <v>11</v>
      </c>
      <c r="J272" s="2">
        <v>2288.66</v>
      </c>
    </row>
    <row r="273" spans="1:10" x14ac:dyDescent="0.25">
      <c r="A273" t="s">
        <v>309</v>
      </c>
      <c r="B273" s="16">
        <v>45855</v>
      </c>
      <c r="C273" t="s">
        <v>34</v>
      </c>
      <c r="D273" t="s">
        <v>12</v>
      </c>
      <c r="E273" t="s">
        <v>27</v>
      </c>
      <c r="F273" t="s">
        <v>42</v>
      </c>
      <c r="G273" t="s">
        <v>15</v>
      </c>
      <c r="H273" s="2">
        <v>208.22</v>
      </c>
      <c r="I273">
        <v>10</v>
      </c>
      <c r="J273" s="2">
        <v>2082.1999999999998</v>
      </c>
    </row>
    <row r="274" spans="1:10" x14ac:dyDescent="0.25">
      <c r="A274" t="s">
        <v>310</v>
      </c>
      <c r="B274" s="16">
        <v>45828</v>
      </c>
      <c r="C274" t="s">
        <v>25</v>
      </c>
      <c r="D274" t="s">
        <v>12</v>
      </c>
      <c r="E274" t="s">
        <v>23</v>
      </c>
      <c r="F274" t="s">
        <v>32</v>
      </c>
      <c r="G274" t="s">
        <v>36</v>
      </c>
      <c r="H274" s="2">
        <v>220.76</v>
      </c>
      <c r="I274">
        <v>3</v>
      </c>
      <c r="J274" s="2">
        <v>662.28</v>
      </c>
    </row>
    <row r="275" spans="1:10" x14ac:dyDescent="0.25">
      <c r="A275" t="s">
        <v>311</v>
      </c>
      <c r="B275" s="16">
        <v>45993</v>
      </c>
      <c r="C275" t="s">
        <v>30</v>
      </c>
      <c r="D275" t="s">
        <v>55</v>
      </c>
      <c r="E275" t="s">
        <v>27</v>
      </c>
      <c r="F275" t="s">
        <v>19</v>
      </c>
      <c r="G275" t="s">
        <v>36</v>
      </c>
      <c r="H275" s="2">
        <v>230.91</v>
      </c>
      <c r="I275">
        <v>13</v>
      </c>
      <c r="J275" s="2">
        <v>3001.83</v>
      </c>
    </row>
    <row r="276" spans="1:10" x14ac:dyDescent="0.25">
      <c r="A276" t="s">
        <v>312</v>
      </c>
      <c r="B276" s="16">
        <v>45944</v>
      </c>
      <c r="C276" t="s">
        <v>17</v>
      </c>
      <c r="D276" t="s">
        <v>35</v>
      </c>
      <c r="E276" t="s">
        <v>23</v>
      </c>
      <c r="F276" t="s">
        <v>28</v>
      </c>
      <c r="G276" t="s">
        <v>20</v>
      </c>
      <c r="H276" s="2">
        <v>142.5</v>
      </c>
      <c r="I276">
        <v>13</v>
      </c>
      <c r="J276" s="2">
        <v>1852.5</v>
      </c>
    </row>
    <row r="277" spans="1:10" x14ac:dyDescent="0.25">
      <c r="A277" t="s">
        <v>313</v>
      </c>
      <c r="B277" s="16">
        <v>46008</v>
      </c>
      <c r="C277" t="s">
        <v>11</v>
      </c>
      <c r="D277" t="s">
        <v>12</v>
      </c>
      <c r="E277" t="s">
        <v>27</v>
      </c>
      <c r="F277" t="s">
        <v>61</v>
      </c>
      <c r="G277" t="s">
        <v>20</v>
      </c>
      <c r="H277" s="2">
        <v>140.33000000000001</v>
      </c>
      <c r="I277">
        <v>17</v>
      </c>
      <c r="J277" s="2">
        <v>2385.61</v>
      </c>
    </row>
    <row r="278" spans="1:10" x14ac:dyDescent="0.25">
      <c r="A278" t="s">
        <v>314</v>
      </c>
      <c r="B278" s="16">
        <v>45843</v>
      </c>
      <c r="C278" t="s">
        <v>34</v>
      </c>
      <c r="D278" t="s">
        <v>35</v>
      </c>
      <c r="E278" t="s">
        <v>23</v>
      </c>
      <c r="F278" t="s">
        <v>14</v>
      </c>
      <c r="G278" t="s">
        <v>36</v>
      </c>
      <c r="H278" s="2">
        <v>205.62</v>
      </c>
      <c r="I278">
        <v>1</v>
      </c>
      <c r="J278" s="2">
        <v>205.62</v>
      </c>
    </row>
    <row r="279" spans="1:10" x14ac:dyDescent="0.25">
      <c r="A279" t="s">
        <v>315</v>
      </c>
      <c r="B279" s="16">
        <v>45906</v>
      </c>
      <c r="C279" t="s">
        <v>30</v>
      </c>
      <c r="D279" t="s">
        <v>26</v>
      </c>
      <c r="E279" t="s">
        <v>23</v>
      </c>
      <c r="F279" t="s">
        <v>19</v>
      </c>
      <c r="G279" t="s">
        <v>36</v>
      </c>
      <c r="H279" s="2">
        <v>172.99</v>
      </c>
      <c r="I279">
        <v>7</v>
      </c>
      <c r="J279" s="2">
        <v>1210.93</v>
      </c>
    </row>
    <row r="280" spans="1:10" x14ac:dyDescent="0.25">
      <c r="A280" t="s">
        <v>316</v>
      </c>
      <c r="B280" s="16">
        <v>45709</v>
      </c>
      <c r="C280" t="s">
        <v>25</v>
      </c>
      <c r="D280" t="s">
        <v>12</v>
      </c>
      <c r="E280" t="s">
        <v>18</v>
      </c>
      <c r="F280" t="s">
        <v>19</v>
      </c>
      <c r="G280" t="s">
        <v>20</v>
      </c>
      <c r="H280" s="2">
        <v>184.43</v>
      </c>
      <c r="I280">
        <v>17</v>
      </c>
      <c r="J280" s="2">
        <v>3135.31</v>
      </c>
    </row>
    <row r="281" spans="1:10" x14ac:dyDescent="0.25">
      <c r="A281" t="s">
        <v>317</v>
      </c>
      <c r="B281" s="16">
        <v>45830</v>
      </c>
      <c r="C281" t="s">
        <v>30</v>
      </c>
      <c r="D281" t="s">
        <v>55</v>
      </c>
      <c r="E281" t="s">
        <v>41</v>
      </c>
      <c r="F281" t="s">
        <v>14</v>
      </c>
      <c r="G281" t="s">
        <v>15</v>
      </c>
      <c r="H281" s="2">
        <v>205.07</v>
      </c>
      <c r="I281">
        <v>20</v>
      </c>
      <c r="J281" s="2">
        <v>4101.3999999999996</v>
      </c>
    </row>
    <row r="282" spans="1:10" x14ac:dyDescent="0.25">
      <c r="A282" t="s">
        <v>318</v>
      </c>
      <c r="B282" s="16">
        <v>45750</v>
      </c>
      <c r="C282" t="s">
        <v>30</v>
      </c>
      <c r="D282" t="s">
        <v>12</v>
      </c>
      <c r="E282" t="s">
        <v>41</v>
      </c>
      <c r="F282" t="s">
        <v>19</v>
      </c>
      <c r="G282" t="s">
        <v>36</v>
      </c>
      <c r="H282" s="2">
        <v>225.8</v>
      </c>
      <c r="I282">
        <v>20</v>
      </c>
      <c r="J282" s="2">
        <v>4516</v>
      </c>
    </row>
    <row r="283" spans="1:10" x14ac:dyDescent="0.25">
      <c r="A283" t="s">
        <v>319</v>
      </c>
      <c r="B283" s="16">
        <v>45844</v>
      </c>
      <c r="C283" t="s">
        <v>38</v>
      </c>
      <c r="D283" t="s">
        <v>55</v>
      </c>
      <c r="E283" t="s">
        <v>13</v>
      </c>
      <c r="F283" t="s">
        <v>39</v>
      </c>
      <c r="G283" t="s">
        <v>20</v>
      </c>
      <c r="H283" s="2">
        <v>104.36</v>
      </c>
      <c r="I283">
        <v>8</v>
      </c>
      <c r="J283" s="2">
        <v>834.88</v>
      </c>
    </row>
    <row r="284" spans="1:10" x14ac:dyDescent="0.25">
      <c r="A284" t="s">
        <v>320</v>
      </c>
      <c r="B284" s="16">
        <v>45887</v>
      </c>
      <c r="C284" t="s">
        <v>25</v>
      </c>
      <c r="D284" t="s">
        <v>26</v>
      </c>
      <c r="E284" t="s">
        <v>13</v>
      </c>
      <c r="F284" t="s">
        <v>39</v>
      </c>
      <c r="G284" t="s">
        <v>36</v>
      </c>
      <c r="H284" s="2">
        <v>112.63</v>
      </c>
      <c r="I284">
        <v>8</v>
      </c>
      <c r="J284" s="2">
        <v>901.04</v>
      </c>
    </row>
    <row r="285" spans="1:10" x14ac:dyDescent="0.25">
      <c r="A285" t="s">
        <v>321</v>
      </c>
      <c r="B285" s="16">
        <v>45757</v>
      </c>
      <c r="C285" t="s">
        <v>17</v>
      </c>
      <c r="D285" t="s">
        <v>55</v>
      </c>
      <c r="E285" t="s">
        <v>41</v>
      </c>
      <c r="F285" t="s">
        <v>61</v>
      </c>
      <c r="G285" t="s">
        <v>36</v>
      </c>
      <c r="H285" s="2">
        <v>50.68</v>
      </c>
      <c r="I285">
        <v>12</v>
      </c>
      <c r="J285" s="2">
        <v>608.16</v>
      </c>
    </row>
    <row r="286" spans="1:10" x14ac:dyDescent="0.25">
      <c r="A286" t="s">
        <v>322</v>
      </c>
      <c r="B286" s="16">
        <v>45853</v>
      </c>
      <c r="C286" t="s">
        <v>25</v>
      </c>
      <c r="D286" t="s">
        <v>31</v>
      </c>
      <c r="E286" t="s">
        <v>23</v>
      </c>
      <c r="F286" t="s">
        <v>39</v>
      </c>
      <c r="G286" t="s">
        <v>15</v>
      </c>
      <c r="H286" s="2">
        <v>157.22</v>
      </c>
      <c r="I286">
        <v>17</v>
      </c>
      <c r="J286" s="2">
        <v>2672.74</v>
      </c>
    </row>
    <row r="287" spans="1:10" x14ac:dyDescent="0.25">
      <c r="A287" t="s">
        <v>323</v>
      </c>
      <c r="B287" s="16">
        <v>45967</v>
      </c>
      <c r="C287" t="s">
        <v>34</v>
      </c>
      <c r="D287" t="s">
        <v>22</v>
      </c>
      <c r="E287" t="s">
        <v>27</v>
      </c>
      <c r="F287" t="s">
        <v>61</v>
      </c>
      <c r="G287" t="s">
        <v>36</v>
      </c>
      <c r="H287" s="2">
        <v>37.909999999999997</v>
      </c>
      <c r="I287">
        <v>5</v>
      </c>
      <c r="J287" s="2">
        <v>189.55</v>
      </c>
    </row>
    <row r="288" spans="1:10" x14ac:dyDescent="0.25">
      <c r="A288" t="s">
        <v>324</v>
      </c>
      <c r="B288" s="16">
        <v>45941</v>
      </c>
      <c r="C288" t="s">
        <v>17</v>
      </c>
      <c r="D288" t="s">
        <v>55</v>
      </c>
      <c r="E288" t="s">
        <v>45</v>
      </c>
      <c r="F288" t="s">
        <v>32</v>
      </c>
      <c r="G288" t="s">
        <v>15</v>
      </c>
      <c r="H288" s="2">
        <v>132.43</v>
      </c>
      <c r="I288">
        <v>4</v>
      </c>
      <c r="J288" s="2">
        <v>529.72</v>
      </c>
    </row>
    <row r="289" spans="1:10" x14ac:dyDescent="0.25">
      <c r="A289" t="s">
        <v>325</v>
      </c>
      <c r="B289" s="16">
        <v>45740</v>
      </c>
      <c r="C289" t="s">
        <v>38</v>
      </c>
      <c r="D289" t="s">
        <v>55</v>
      </c>
      <c r="E289" t="s">
        <v>23</v>
      </c>
      <c r="F289" t="s">
        <v>39</v>
      </c>
      <c r="G289" t="s">
        <v>36</v>
      </c>
      <c r="H289" s="2">
        <v>149.38</v>
      </c>
      <c r="I289">
        <v>9</v>
      </c>
      <c r="J289" s="2">
        <v>1344.42</v>
      </c>
    </row>
    <row r="290" spans="1:10" x14ac:dyDescent="0.25">
      <c r="A290" t="s">
        <v>326</v>
      </c>
      <c r="B290" s="16">
        <v>45704</v>
      </c>
      <c r="C290" t="s">
        <v>38</v>
      </c>
      <c r="D290" t="s">
        <v>35</v>
      </c>
      <c r="E290" t="s">
        <v>45</v>
      </c>
      <c r="F290" t="s">
        <v>61</v>
      </c>
      <c r="G290" t="s">
        <v>15</v>
      </c>
      <c r="H290" s="2">
        <v>93.04</v>
      </c>
      <c r="I290">
        <v>8</v>
      </c>
      <c r="J290" s="2">
        <v>744.32</v>
      </c>
    </row>
    <row r="291" spans="1:10" x14ac:dyDescent="0.25">
      <c r="A291" t="s">
        <v>327</v>
      </c>
      <c r="B291" s="16">
        <v>45860</v>
      </c>
      <c r="C291" t="s">
        <v>34</v>
      </c>
      <c r="D291" t="s">
        <v>26</v>
      </c>
      <c r="E291" t="s">
        <v>41</v>
      </c>
      <c r="F291" t="s">
        <v>19</v>
      </c>
      <c r="G291" t="s">
        <v>36</v>
      </c>
      <c r="H291" s="2">
        <v>159.97999999999999</v>
      </c>
      <c r="I291">
        <v>17</v>
      </c>
      <c r="J291" s="2">
        <v>2719.66</v>
      </c>
    </row>
    <row r="292" spans="1:10" x14ac:dyDescent="0.25">
      <c r="A292" t="s">
        <v>328</v>
      </c>
      <c r="B292" s="16">
        <v>45772</v>
      </c>
      <c r="C292" t="s">
        <v>34</v>
      </c>
      <c r="D292" t="s">
        <v>22</v>
      </c>
      <c r="E292" t="s">
        <v>27</v>
      </c>
      <c r="F292" t="s">
        <v>28</v>
      </c>
      <c r="G292" t="s">
        <v>36</v>
      </c>
      <c r="H292" s="2">
        <v>36.71</v>
      </c>
      <c r="I292">
        <v>1</v>
      </c>
      <c r="J292" s="2">
        <v>36.71</v>
      </c>
    </row>
    <row r="293" spans="1:10" x14ac:dyDescent="0.25">
      <c r="A293" t="s">
        <v>329</v>
      </c>
      <c r="B293" s="16">
        <v>45732</v>
      </c>
      <c r="C293" t="s">
        <v>11</v>
      </c>
      <c r="D293" t="s">
        <v>35</v>
      </c>
      <c r="E293" t="s">
        <v>41</v>
      </c>
      <c r="F293" t="s">
        <v>28</v>
      </c>
      <c r="G293" t="s">
        <v>15</v>
      </c>
      <c r="H293" s="2">
        <v>38.22</v>
      </c>
      <c r="I293">
        <v>5</v>
      </c>
      <c r="J293" s="2">
        <v>191.1</v>
      </c>
    </row>
    <row r="294" spans="1:10" x14ac:dyDescent="0.25">
      <c r="A294" t="s">
        <v>330</v>
      </c>
      <c r="B294" s="16">
        <v>46019</v>
      </c>
      <c r="C294" t="s">
        <v>38</v>
      </c>
      <c r="D294" t="s">
        <v>55</v>
      </c>
      <c r="E294" t="s">
        <v>45</v>
      </c>
      <c r="F294" t="s">
        <v>19</v>
      </c>
      <c r="G294" t="s">
        <v>15</v>
      </c>
      <c r="H294" s="2">
        <v>210.97</v>
      </c>
      <c r="I294">
        <v>16</v>
      </c>
      <c r="J294" s="2">
        <v>3375.52</v>
      </c>
    </row>
    <row r="295" spans="1:10" x14ac:dyDescent="0.25">
      <c r="A295" t="s">
        <v>331</v>
      </c>
      <c r="B295" s="16">
        <v>45789</v>
      </c>
      <c r="C295" t="s">
        <v>30</v>
      </c>
      <c r="D295" t="s">
        <v>55</v>
      </c>
      <c r="E295" t="s">
        <v>27</v>
      </c>
      <c r="F295" t="s">
        <v>42</v>
      </c>
      <c r="G295" t="s">
        <v>20</v>
      </c>
      <c r="H295" s="2">
        <v>109.24</v>
      </c>
      <c r="I295">
        <v>7</v>
      </c>
      <c r="J295" s="2">
        <v>764.68</v>
      </c>
    </row>
    <row r="296" spans="1:10" x14ac:dyDescent="0.25">
      <c r="A296" t="s">
        <v>332</v>
      </c>
      <c r="B296" s="16">
        <v>45874</v>
      </c>
      <c r="C296" t="s">
        <v>34</v>
      </c>
      <c r="D296" t="s">
        <v>26</v>
      </c>
      <c r="E296" t="s">
        <v>13</v>
      </c>
      <c r="F296" t="s">
        <v>19</v>
      </c>
      <c r="G296" t="s">
        <v>15</v>
      </c>
      <c r="H296" s="2">
        <v>57.95</v>
      </c>
      <c r="I296">
        <v>4</v>
      </c>
      <c r="J296" s="2">
        <v>231.8</v>
      </c>
    </row>
    <row r="297" spans="1:10" x14ac:dyDescent="0.25">
      <c r="A297" t="s">
        <v>333</v>
      </c>
      <c r="B297" s="16">
        <v>45780</v>
      </c>
      <c r="C297" t="s">
        <v>17</v>
      </c>
      <c r="D297" t="s">
        <v>55</v>
      </c>
      <c r="E297" t="s">
        <v>41</v>
      </c>
      <c r="F297" t="s">
        <v>19</v>
      </c>
      <c r="G297" t="s">
        <v>15</v>
      </c>
      <c r="H297" s="2">
        <v>144.88999999999999</v>
      </c>
      <c r="I297">
        <v>14</v>
      </c>
      <c r="J297" s="2">
        <v>2028.46</v>
      </c>
    </row>
    <row r="298" spans="1:10" x14ac:dyDescent="0.25">
      <c r="A298" t="s">
        <v>334</v>
      </c>
      <c r="B298" s="16">
        <v>45913</v>
      </c>
      <c r="C298" t="s">
        <v>25</v>
      </c>
      <c r="D298" t="s">
        <v>22</v>
      </c>
      <c r="E298" t="s">
        <v>27</v>
      </c>
      <c r="F298" t="s">
        <v>42</v>
      </c>
      <c r="G298" t="s">
        <v>20</v>
      </c>
      <c r="H298" s="2">
        <v>199.4</v>
      </c>
      <c r="I298">
        <v>20</v>
      </c>
      <c r="J298" s="2">
        <v>3988</v>
      </c>
    </row>
    <row r="299" spans="1:10" x14ac:dyDescent="0.25">
      <c r="A299" t="s">
        <v>335</v>
      </c>
      <c r="B299" s="16">
        <v>45781</v>
      </c>
      <c r="C299" t="s">
        <v>34</v>
      </c>
      <c r="D299" t="s">
        <v>31</v>
      </c>
      <c r="E299" t="s">
        <v>45</v>
      </c>
      <c r="F299" t="s">
        <v>42</v>
      </c>
      <c r="G299" t="s">
        <v>36</v>
      </c>
      <c r="H299" s="2">
        <v>77.48</v>
      </c>
      <c r="I299">
        <v>5</v>
      </c>
      <c r="J299" s="2">
        <v>387.4</v>
      </c>
    </row>
    <row r="300" spans="1:10" x14ac:dyDescent="0.25">
      <c r="A300" t="s">
        <v>336</v>
      </c>
      <c r="B300" s="16">
        <v>45781</v>
      </c>
      <c r="C300" t="s">
        <v>38</v>
      </c>
      <c r="D300" t="s">
        <v>26</v>
      </c>
      <c r="E300" t="s">
        <v>27</v>
      </c>
      <c r="F300" t="s">
        <v>28</v>
      </c>
      <c r="G300" t="s">
        <v>15</v>
      </c>
      <c r="H300" s="2">
        <v>167.04</v>
      </c>
      <c r="I300">
        <v>19</v>
      </c>
      <c r="J300" s="2">
        <v>3173.76</v>
      </c>
    </row>
    <row r="301" spans="1:10" x14ac:dyDescent="0.25">
      <c r="A301" t="s">
        <v>337</v>
      </c>
      <c r="B301" s="16">
        <v>45926</v>
      </c>
      <c r="C301" t="s">
        <v>11</v>
      </c>
      <c r="D301" t="s">
        <v>55</v>
      </c>
      <c r="E301" t="s">
        <v>18</v>
      </c>
      <c r="F301" t="s">
        <v>42</v>
      </c>
      <c r="G301" t="s">
        <v>20</v>
      </c>
      <c r="H301" s="2">
        <v>48.78</v>
      </c>
      <c r="I301">
        <v>12</v>
      </c>
      <c r="J301" s="2">
        <v>585.36</v>
      </c>
    </row>
    <row r="302" spans="1:10" x14ac:dyDescent="0.25">
      <c r="A302" t="s">
        <v>338</v>
      </c>
      <c r="B302" s="16">
        <v>45941</v>
      </c>
      <c r="C302" t="s">
        <v>38</v>
      </c>
      <c r="D302" t="s">
        <v>31</v>
      </c>
      <c r="E302" t="s">
        <v>45</v>
      </c>
      <c r="F302" t="s">
        <v>28</v>
      </c>
      <c r="G302" t="s">
        <v>36</v>
      </c>
      <c r="H302" s="2">
        <v>41.37</v>
      </c>
      <c r="I302">
        <v>1</v>
      </c>
      <c r="J302" s="2">
        <v>41.37</v>
      </c>
    </row>
    <row r="303" spans="1:10" x14ac:dyDescent="0.25">
      <c r="A303" t="s">
        <v>339</v>
      </c>
      <c r="B303" s="16">
        <v>45849</v>
      </c>
      <c r="C303" t="s">
        <v>17</v>
      </c>
      <c r="D303" t="s">
        <v>22</v>
      </c>
      <c r="E303" t="s">
        <v>13</v>
      </c>
      <c r="F303" t="s">
        <v>39</v>
      </c>
      <c r="G303" t="s">
        <v>15</v>
      </c>
      <c r="H303" s="2">
        <v>146.9</v>
      </c>
      <c r="I303">
        <v>9</v>
      </c>
      <c r="J303" s="2">
        <v>1322.1</v>
      </c>
    </row>
    <row r="304" spans="1:10" x14ac:dyDescent="0.25">
      <c r="A304" t="s">
        <v>340</v>
      </c>
      <c r="B304" s="16">
        <v>45834</v>
      </c>
      <c r="C304" t="s">
        <v>17</v>
      </c>
      <c r="D304" t="s">
        <v>12</v>
      </c>
      <c r="E304" t="s">
        <v>27</v>
      </c>
      <c r="F304" t="s">
        <v>19</v>
      </c>
      <c r="G304" t="s">
        <v>20</v>
      </c>
      <c r="H304" s="2">
        <v>148.94</v>
      </c>
      <c r="I304">
        <v>8</v>
      </c>
      <c r="J304" s="2">
        <v>1191.52</v>
      </c>
    </row>
    <row r="305" spans="1:10" x14ac:dyDescent="0.25">
      <c r="A305" t="s">
        <v>341</v>
      </c>
      <c r="B305" s="16">
        <v>45828</v>
      </c>
      <c r="C305" t="s">
        <v>11</v>
      </c>
      <c r="D305" t="s">
        <v>35</v>
      </c>
      <c r="E305" t="s">
        <v>18</v>
      </c>
      <c r="F305" t="s">
        <v>32</v>
      </c>
      <c r="G305" t="s">
        <v>20</v>
      </c>
      <c r="H305" s="2">
        <v>170.23</v>
      </c>
      <c r="I305">
        <v>5</v>
      </c>
      <c r="J305" s="2">
        <v>851.15</v>
      </c>
    </row>
    <row r="306" spans="1:10" x14ac:dyDescent="0.25">
      <c r="A306" t="s">
        <v>342</v>
      </c>
      <c r="B306" s="16">
        <v>45747</v>
      </c>
      <c r="C306" t="s">
        <v>17</v>
      </c>
      <c r="D306" t="s">
        <v>31</v>
      </c>
      <c r="E306" t="s">
        <v>27</v>
      </c>
      <c r="F306" t="s">
        <v>14</v>
      </c>
      <c r="G306" t="s">
        <v>15</v>
      </c>
      <c r="H306" s="2">
        <v>189.74</v>
      </c>
      <c r="I306">
        <v>15</v>
      </c>
      <c r="J306" s="2">
        <v>2846.1</v>
      </c>
    </row>
    <row r="307" spans="1:10" x14ac:dyDescent="0.25">
      <c r="A307" t="s">
        <v>343</v>
      </c>
      <c r="B307" s="16">
        <v>45690</v>
      </c>
      <c r="C307" t="s">
        <v>11</v>
      </c>
      <c r="D307" t="s">
        <v>35</v>
      </c>
      <c r="E307" t="s">
        <v>23</v>
      </c>
      <c r="F307" t="s">
        <v>19</v>
      </c>
      <c r="G307" t="s">
        <v>15</v>
      </c>
      <c r="H307" s="2">
        <v>244.69</v>
      </c>
      <c r="I307">
        <v>15</v>
      </c>
      <c r="J307" s="2">
        <v>3670.35</v>
      </c>
    </row>
    <row r="308" spans="1:10" x14ac:dyDescent="0.25">
      <c r="A308" t="s">
        <v>344</v>
      </c>
      <c r="B308" s="16">
        <v>45679</v>
      </c>
      <c r="C308" t="s">
        <v>34</v>
      </c>
      <c r="D308" t="s">
        <v>55</v>
      </c>
      <c r="E308" t="s">
        <v>41</v>
      </c>
      <c r="F308" t="s">
        <v>39</v>
      </c>
      <c r="G308" t="s">
        <v>20</v>
      </c>
      <c r="H308" s="2">
        <v>143.59</v>
      </c>
      <c r="I308">
        <v>11</v>
      </c>
      <c r="J308" s="2">
        <v>1579.49</v>
      </c>
    </row>
    <row r="309" spans="1:10" x14ac:dyDescent="0.25">
      <c r="A309" t="s">
        <v>345</v>
      </c>
      <c r="B309" s="16">
        <v>45900</v>
      </c>
      <c r="C309" t="s">
        <v>11</v>
      </c>
      <c r="D309" t="s">
        <v>12</v>
      </c>
      <c r="E309" t="s">
        <v>23</v>
      </c>
      <c r="F309" t="s">
        <v>32</v>
      </c>
      <c r="G309" t="s">
        <v>36</v>
      </c>
      <c r="H309" s="2">
        <v>101.05</v>
      </c>
      <c r="I309">
        <v>9</v>
      </c>
      <c r="J309" s="2">
        <v>909.45</v>
      </c>
    </row>
    <row r="310" spans="1:10" x14ac:dyDescent="0.25">
      <c r="A310" t="s">
        <v>346</v>
      </c>
      <c r="B310" s="16">
        <v>45682</v>
      </c>
      <c r="C310" t="s">
        <v>34</v>
      </c>
      <c r="D310" t="s">
        <v>22</v>
      </c>
      <c r="E310" t="s">
        <v>13</v>
      </c>
      <c r="F310" t="s">
        <v>61</v>
      </c>
      <c r="G310" t="s">
        <v>36</v>
      </c>
      <c r="H310" s="2">
        <v>204.94</v>
      </c>
      <c r="I310">
        <v>11</v>
      </c>
      <c r="J310" s="2">
        <v>2254.34</v>
      </c>
    </row>
    <row r="311" spans="1:10" x14ac:dyDescent="0.25">
      <c r="A311" t="s">
        <v>347</v>
      </c>
      <c r="B311" s="16">
        <v>45883</v>
      </c>
      <c r="C311" t="s">
        <v>34</v>
      </c>
      <c r="D311" t="s">
        <v>26</v>
      </c>
      <c r="E311" t="s">
        <v>41</v>
      </c>
      <c r="F311" t="s">
        <v>28</v>
      </c>
      <c r="G311" t="s">
        <v>36</v>
      </c>
      <c r="H311" s="2">
        <v>89.58</v>
      </c>
      <c r="I311">
        <v>13</v>
      </c>
      <c r="J311" s="2">
        <v>1164.54</v>
      </c>
    </row>
    <row r="312" spans="1:10" x14ac:dyDescent="0.25">
      <c r="A312" t="s">
        <v>348</v>
      </c>
      <c r="B312" s="16">
        <v>45846</v>
      </c>
      <c r="C312" t="s">
        <v>34</v>
      </c>
      <c r="D312" t="s">
        <v>22</v>
      </c>
      <c r="E312" t="s">
        <v>27</v>
      </c>
      <c r="F312" t="s">
        <v>61</v>
      </c>
      <c r="G312" t="s">
        <v>15</v>
      </c>
      <c r="H312" s="2">
        <v>126.57</v>
      </c>
      <c r="I312">
        <v>17</v>
      </c>
      <c r="J312" s="2">
        <v>2151.69</v>
      </c>
    </row>
    <row r="313" spans="1:10" x14ac:dyDescent="0.25">
      <c r="A313" t="s">
        <v>349</v>
      </c>
      <c r="B313" s="16">
        <v>45878</v>
      </c>
      <c r="C313" t="s">
        <v>30</v>
      </c>
      <c r="D313" t="s">
        <v>55</v>
      </c>
      <c r="E313" t="s">
        <v>13</v>
      </c>
      <c r="F313" t="s">
        <v>32</v>
      </c>
      <c r="G313" t="s">
        <v>15</v>
      </c>
      <c r="H313" s="2">
        <v>47.26</v>
      </c>
      <c r="I313">
        <v>20</v>
      </c>
      <c r="J313" s="2">
        <v>945.2</v>
      </c>
    </row>
    <row r="314" spans="1:10" x14ac:dyDescent="0.25">
      <c r="A314" t="s">
        <v>350</v>
      </c>
      <c r="B314" s="16">
        <v>45698</v>
      </c>
      <c r="C314" t="s">
        <v>17</v>
      </c>
      <c r="D314" t="s">
        <v>35</v>
      </c>
      <c r="E314" t="s">
        <v>13</v>
      </c>
      <c r="F314" t="s">
        <v>61</v>
      </c>
      <c r="G314" t="s">
        <v>20</v>
      </c>
      <c r="H314" s="2">
        <v>35.58</v>
      </c>
      <c r="I314">
        <v>11</v>
      </c>
      <c r="J314" s="2">
        <v>391.38</v>
      </c>
    </row>
    <row r="315" spans="1:10" x14ac:dyDescent="0.25">
      <c r="A315" t="s">
        <v>351</v>
      </c>
      <c r="B315" s="16">
        <v>45876</v>
      </c>
      <c r="C315" t="s">
        <v>17</v>
      </c>
      <c r="D315" t="s">
        <v>31</v>
      </c>
      <c r="E315" t="s">
        <v>13</v>
      </c>
      <c r="F315" t="s">
        <v>61</v>
      </c>
      <c r="G315" t="s">
        <v>15</v>
      </c>
      <c r="H315" s="2">
        <v>241.78</v>
      </c>
      <c r="I315">
        <v>6</v>
      </c>
      <c r="J315" s="2">
        <v>1450.68</v>
      </c>
    </row>
    <row r="316" spans="1:10" x14ac:dyDescent="0.25">
      <c r="A316" t="s">
        <v>352</v>
      </c>
      <c r="B316" s="16">
        <v>45838</v>
      </c>
      <c r="C316" t="s">
        <v>38</v>
      </c>
      <c r="D316" t="s">
        <v>35</v>
      </c>
      <c r="E316" t="s">
        <v>27</v>
      </c>
      <c r="F316" t="s">
        <v>39</v>
      </c>
      <c r="G316" t="s">
        <v>15</v>
      </c>
      <c r="H316" s="2">
        <v>213.92</v>
      </c>
      <c r="I316">
        <v>20</v>
      </c>
      <c r="J316" s="2">
        <v>4278.3999999999996</v>
      </c>
    </row>
    <row r="317" spans="1:10" x14ac:dyDescent="0.25">
      <c r="A317" t="s">
        <v>353</v>
      </c>
      <c r="B317" s="16">
        <v>45696</v>
      </c>
      <c r="C317" t="s">
        <v>34</v>
      </c>
      <c r="D317" t="s">
        <v>55</v>
      </c>
      <c r="E317" t="s">
        <v>27</v>
      </c>
      <c r="F317" t="s">
        <v>28</v>
      </c>
      <c r="G317" t="s">
        <v>15</v>
      </c>
      <c r="H317" s="2">
        <v>183.11</v>
      </c>
      <c r="I317">
        <v>13</v>
      </c>
      <c r="J317" s="2">
        <v>2380.4299999999998</v>
      </c>
    </row>
    <row r="318" spans="1:10" x14ac:dyDescent="0.25">
      <c r="A318" t="s">
        <v>354</v>
      </c>
      <c r="B318" s="16">
        <v>45673</v>
      </c>
      <c r="C318" t="s">
        <v>25</v>
      </c>
      <c r="D318" t="s">
        <v>12</v>
      </c>
      <c r="E318" t="s">
        <v>41</v>
      </c>
      <c r="F318" t="s">
        <v>19</v>
      </c>
      <c r="G318" t="s">
        <v>15</v>
      </c>
      <c r="H318" s="2">
        <v>119.97</v>
      </c>
      <c r="I318">
        <v>5</v>
      </c>
      <c r="J318" s="2">
        <v>599.85</v>
      </c>
    </row>
    <row r="319" spans="1:10" x14ac:dyDescent="0.25">
      <c r="A319" t="s">
        <v>355</v>
      </c>
      <c r="B319" s="16">
        <v>45692</v>
      </c>
      <c r="C319" t="s">
        <v>17</v>
      </c>
      <c r="D319" t="s">
        <v>35</v>
      </c>
      <c r="E319" t="s">
        <v>13</v>
      </c>
      <c r="F319" t="s">
        <v>61</v>
      </c>
      <c r="G319" t="s">
        <v>20</v>
      </c>
      <c r="H319" s="2">
        <v>68.12</v>
      </c>
      <c r="I319">
        <v>8</v>
      </c>
      <c r="J319" s="2">
        <v>544.96</v>
      </c>
    </row>
    <row r="320" spans="1:10" x14ac:dyDescent="0.25">
      <c r="A320" t="s">
        <v>356</v>
      </c>
      <c r="B320" s="16">
        <v>45674</v>
      </c>
      <c r="C320" t="s">
        <v>30</v>
      </c>
      <c r="D320" t="s">
        <v>12</v>
      </c>
      <c r="E320" t="s">
        <v>41</v>
      </c>
      <c r="F320" t="s">
        <v>32</v>
      </c>
      <c r="G320" t="s">
        <v>36</v>
      </c>
      <c r="H320" s="2">
        <v>64.42</v>
      </c>
      <c r="I320">
        <v>20</v>
      </c>
      <c r="J320" s="2">
        <v>1288.4000000000001</v>
      </c>
    </row>
    <row r="321" spans="1:10" x14ac:dyDescent="0.25">
      <c r="A321" t="s">
        <v>357</v>
      </c>
      <c r="B321" s="16">
        <v>45885</v>
      </c>
      <c r="C321" t="s">
        <v>25</v>
      </c>
      <c r="D321" t="s">
        <v>26</v>
      </c>
      <c r="E321" t="s">
        <v>18</v>
      </c>
      <c r="F321" t="s">
        <v>32</v>
      </c>
      <c r="G321" t="s">
        <v>36</v>
      </c>
      <c r="H321" s="2">
        <v>85.05</v>
      </c>
      <c r="I321">
        <v>3</v>
      </c>
      <c r="J321" s="2">
        <v>255.15</v>
      </c>
    </row>
    <row r="322" spans="1:10" x14ac:dyDescent="0.25">
      <c r="A322" t="s">
        <v>358</v>
      </c>
      <c r="B322" s="16">
        <v>45818</v>
      </c>
      <c r="C322" t="s">
        <v>30</v>
      </c>
      <c r="D322" t="s">
        <v>22</v>
      </c>
      <c r="E322" t="s">
        <v>45</v>
      </c>
      <c r="F322" t="s">
        <v>28</v>
      </c>
      <c r="G322" t="s">
        <v>15</v>
      </c>
      <c r="H322" s="2">
        <v>150.83000000000001</v>
      </c>
      <c r="I322">
        <v>9</v>
      </c>
      <c r="J322" s="2">
        <v>1357.47</v>
      </c>
    </row>
    <row r="323" spans="1:10" x14ac:dyDescent="0.25">
      <c r="A323" t="s">
        <v>359</v>
      </c>
      <c r="B323" s="16">
        <v>45913</v>
      </c>
      <c r="C323" t="s">
        <v>38</v>
      </c>
      <c r="D323" t="s">
        <v>55</v>
      </c>
      <c r="E323" t="s">
        <v>45</v>
      </c>
      <c r="F323" t="s">
        <v>32</v>
      </c>
      <c r="G323" t="s">
        <v>36</v>
      </c>
      <c r="H323" s="2">
        <v>187.21</v>
      </c>
      <c r="I323">
        <v>17</v>
      </c>
      <c r="J323" s="2">
        <v>3182.57</v>
      </c>
    </row>
    <row r="324" spans="1:10" x14ac:dyDescent="0.25">
      <c r="A324" t="s">
        <v>360</v>
      </c>
      <c r="B324" s="16">
        <v>46018</v>
      </c>
      <c r="C324" t="s">
        <v>30</v>
      </c>
      <c r="D324" t="s">
        <v>55</v>
      </c>
      <c r="E324" t="s">
        <v>13</v>
      </c>
      <c r="F324" t="s">
        <v>28</v>
      </c>
      <c r="G324" t="s">
        <v>36</v>
      </c>
      <c r="H324" s="2">
        <v>175.24</v>
      </c>
      <c r="I324">
        <v>15</v>
      </c>
      <c r="J324" s="2">
        <v>2628.6</v>
      </c>
    </row>
    <row r="325" spans="1:10" x14ac:dyDescent="0.25">
      <c r="A325" t="s">
        <v>361</v>
      </c>
      <c r="B325" s="16">
        <v>45760</v>
      </c>
      <c r="C325" t="s">
        <v>30</v>
      </c>
      <c r="D325" t="s">
        <v>22</v>
      </c>
      <c r="E325" t="s">
        <v>41</v>
      </c>
      <c r="F325" t="s">
        <v>14</v>
      </c>
      <c r="G325" t="s">
        <v>20</v>
      </c>
      <c r="H325" s="2">
        <v>91.59</v>
      </c>
      <c r="I325">
        <v>4</v>
      </c>
      <c r="J325" s="2">
        <v>366.36</v>
      </c>
    </row>
    <row r="326" spans="1:10" x14ac:dyDescent="0.25">
      <c r="A326" t="s">
        <v>362</v>
      </c>
      <c r="B326" s="16">
        <v>45885</v>
      </c>
      <c r="C326" t="s">
        <v>17</v>
      </c>
      <c r="D326" t="s">
        <v>35</v>
      </c>
      <c r="E326" t="s">
        <v>27</v>
      </c>
      <c r="F326" t="s">
        <v>32</v>
      </c>
      <c r="G326" t="s">
        <v>20</v>
      </c>
      <c r="H326" s="2">
        <v>240.07</v>
      </c>
      <c r="I326">
        <v>3</v>
      </c>
      <c r="J326" s="2">
        <v>720.21</v>
      </c>
    </row>
    <row r="327" spans="1:10" x14ac:dyDescent="0.25">
      <c r="A327" t="s">
        <v>363</v>
      </c>
      <c r="B327" s="16">
        <v>45691</v>
      </c>
      <c r="C327" t="s">
        <v>25</v>
      </c>
      <c r="D327" t="s">
        <v>35</v>
      </c>
      <c r="E327" t="s">
        <v>13</v>
      </c>
      <c r="F327" t="s">
        <v>39</v>
      </c>
      <c r="G327" t="s">
        <v>15</v>
      </c>
      <c r="H327" s="2">
        <v>192.34</v>
      </c>
      <c r="I327">
        <v>18</v>
      </c>
      <c r="J327" s="2">
        <v>3462.12</v>
      </c>
    </row>
    <row r="328" spans="1:10" x14ac:dyDescent="0.25">
      <c r="A328" t="s">
        <v>364</v>
      </c>
      <c r="B328" s="16">
        <v>46022</v>
      </c>
      <c r="C328" t="s">
        <v>34</v>
      </c>
      <c r="D328" t="s">
        <v>55</v>
      </c>
      <c r="E328" t="s">
        <v>23</v>
      </c>
      <c r="F328" t="s">
        <v>19</v>
      </c>
      <c r="G328" t="s">
        <v>15</v>
      </c>
      <c r="H328" s="2">
        <v>151.96</v>
      </c>
      <c r="I328">
        <v>6</v>
      </c>
      <c r="J328" s="2">
        <v>911.76</v>
      </c>
    </row>
    <row r="329" spans="1:10" x14ac:dyDescent="0.25">
      <c r="A329" t="s">
        <v>365</v>
      </c>
      <c r="B329" s="16">
        <v>45729</v>
      </c>
      <c r="C329" t="s">
        <v>38</v>
      </c>
      <c r="D329" t="s">
        <v>22</v>
      </c>
      <c r="E329" t="s">
        <v>13</v>
      </c>
      <c r="F329" t="s">
        <v>42</v>
      </c>
      <c r="G329" t="s">
        <v>20</v>
      </c>
      <c r="H329" s="2">
        <v>164.58</v>
      </c>
      <c r="I329">
        <v>8</v>
      </c>
      <c r="J329" s="2">
        <v>1316.64</v>
      </c>
    </row>
    <row r="330" spans="1:10" x14ac:dyDescent="0.25">
      <c r="A330" t="s">
        <v>366</v>
      </c>
      <c r="B330" s="16">
        <v>45846</v>
      </c>
      <c r="C330" t="s">
        <v>25</v>
      </c>
      <c r="D330" t="s">
        <v>26</v>
      </c>
      <c r="E330" t="s">
        <v>18</v>
      </c>
      <c r="F330" t="s">
        <v>19</v>
      </c>
      <c r="G330" t="s">
        <v>15</v>
      </c>
      <c r="H330" s="2">
        <v>122.31</v>
      </c>
      <c r="I330">
        <v>15</v>
      </c>
      <c r="J330" s="2">
        <v>1834.65</v>
      </c>
    </row>
    <row r="331" spans="1:10" x14ac:dyDescent="0.25">
      <c r="A331" t="s">
        <v>367</v>
      </c>
      <c r="B331" s="16">
        <v>45816</v>
      </c>
      <c r="C331" t="s">
        <v>17</v>
      </c>
      <c r="D331" t="s">
        <v>12</v>
      </c>
      <c r="E331" t="s">
        <v>41</v>
      </c>
      <c r="F331" t="s">
        <v>42</v>
      </c>
      <c r="G331" t="s">
        <v>36</v>
      </c>
      <c r="H331" s="2">
        <v>84.5</v>
      </c>
      <c r="I331">
        <v>13</v>
      </c>
      <c r="J331" s="2">
        <v>1098.5</v>
      </c>
    </row>
    <row r="332" spans="1:10" x14ac:dyDescent="0.25">
      <c r="A332" t="s">
        <v>368</v>
      </c>
      <c r="B332" s="16">
        <v>45867</v>
      </c>
      <c r="C332" t="s">
        <v>11</v>
      </c>
      <c r="D332" t="s">
        <v>26</v>
      </c>
      <c r="E332" t="s">
        <v>13</v>
      </c>
      <c r="F332" t="s">
        <v>28</v>
      </c>
      <c r="G332" t="s">
        <v>15</v>
      </c>
      <c r="H332" s="2">
        <v>108.31</v>
      </c>
      <c r="I332">
        <v>19</v>
      </c>
      <c r="J332" s="2">
        <v>2057.89</v>
      </c>
    </row>
    <row r="333" spans="1:10" x14ac:dyDescent="0.25">
      <c r="A333" t="s">
        <v>369</v>
      </c>
      <c r="B333" s="16">
        <v>45888</v>
      </c>
      <c r="C333" t="s">
        <v>17</v>
      </c>
      <c r="D333" t="s">
        <v>55</v>
      </c>
      <c r="E333" t="s">
        <v>13</v>
      </c>
      <c r="F333" t="s">
        <v>14</v>
      </c>
      <c r="G333" t="s">
        <v>20</v>
      </c>
      <c r="H333" s="2">
        <v>196.73</v>
      </c>
      <c r="I333">
        <v>15</v>
      </c>
      <c r="J333" s="2">
        <v>2950.95</v>
      </c>
    </row>
    <row r="334" spans="1:10" x14ac:dyDescent="0.25">
      <c r="A334" t="s">
        <v>370</v>
      </c>
      <c r="B334" s="16">
        <v>45985</v>
      </c>
      <c r="C334" t="s">
        <v>30</v>
      </c>
      <c r="D334" t="s">
        <v>26</v>
      </c>
      <c r="E334" t="s">
        <v>41</v>
      </c>
      <c r="F334" t="s">
        <v>42</v>
      </c>
      <c r="G334" t="s">
        <v>15</v>
      </c>
      <c r="H334" s="2">
        <v>33.17</v>
      </c>
      <c r="I334">
        <v>19</v>
      </c>
      <c r="J334" s="2">
        <v>630.23</v>
      </c>
    </row>
    <row r="335" spans="1:10" x14ac:dyDescent="0.25">
      <c r="A335" t="s">
        <v>371</v>
      </c>
      <c r="B335" s="16">
        <v>45721</v>
      </c>
      <c r="C335" t="s">
        <v>30</v>
      </c>
      <c r="D335" t="s">
        <v>35</v>
      </c>
      <c r="E335" t="s">
        <v>23</v>
      </c>
      <c r="F335" t="s">
        <v>14</v>
      </c>
      <c r="G335" t="s">
        <v>36</v>
      </c>
      <c r="H335" s="2">
        <v>55.54</v>
      </c>
      <c r="I335">
        <v>17</v>
      </c>
      <c r="J335" s="2">
        <v>944.18</v>
      </c>
    </row>
    <row r="336" spans="1:10" x14ac:dyDescent="0.25">
      <c r="A336" t="s">
        <v>372</v>
      </c>
      <c r="B336" s="16">
        <v>46021</v>
      </c>
      <c r="C336" t="s">
        <v>34</v>
      </c>
      <c r="D336" t="s">
        <v>55</v>
      </c>
      <c r="E336" t="s">
        <v>13</v>
      </c>
      <c r="F336" t="s">
        <v>39</v>
      </c>
      <c r="G336" t="s">
        <v>15</v>
      </c>
      <c r="H336" s="2">
        <v>40.119999999999997</v>
      </c>
      <c r="I336">
        <v>8</v>
      </c>
      <c r="J336" s="2">
        <v>320.95999999999998</v>
      </c>
    </row>
    <row r="337" spans="1:10" x14ac:dyDescent="0.25">
      <c r="A337" t="s">
        <v>373</v>
      </c>
      <c r="B337" s="16">
        <v>45786</v>
      </c>
      <c r="C337" t="s">
        <v>17</v>
      </c>
      <c r="D337" t="s">
        <v>55</v>
      </c>
      <c r="E337" t="s">
        <v>13</v>
      </c>
      <c r="F337" t="s">
        <v>14</v>
      </c>
      <c r="G337" t="s">
        <v>20</v>
      </c>
      <c r="H337" s="2">
        <v>38.96</v>
      </c>
      <c r="I337">
        <v>7</v>
      </c>
      <c r="J337" s="2">
        <v>272.72000000000003</v>
      </c>
    </row>
    <row r="338" spans="1:10" x14ac:dyDescent="0.25">
      <c r="A338" t="s">
        <v>374</v>
      </c>
      <c r="B338" s="16">
        <v>45813</v>
      </c>
      <c r="C338" t="s">
        <v>25</v>
      </c>
      <c r="D338" t="s">
        <v>22</v>
      </c>
      <c r="E338" t="s">
        <v>18</v>
      </c>
      <c r="F338" t="s">
        <v>28</v>
      </c>
      <c r="G338" t="s">
        <v>15</v>
      </c>
      <c r="H338" s="2">
        <v>218.2</v>
      </c>
      <c r="I338">
        <v>20</v>
      </c>
      <c r="J338" s="2">
        <v>4364</v>
      </c>
    </row>
    <row r="339" spans="1:10" x14ac:dyDescent="0.25">
      <c r="A339" t="s">
        <v>375</v>
      </c>
      <c r="B339" s="16">
        <v>45961</v>
      </c>
      <c r="C339" t="s">
        <v>30</v>
      </c>
      <c r="D339" t="s">
        <v>26</v>
      </c>
      <c r="E339" t="s">
        <v>27</v>
      </c>
      <c r="F339" t="s">
        <v>42</v>
      </c>
      <c r="G339" t="s">
        <v>20</v>
      </c>
      <c r="H339" s="2">
        <v>184.8</v>
      </c>
      <c r="I339">
        <v>19</v>
      </c>
      <c r="J339" s="2">
        <v>3511.2</v>
      </c>
    </row>
    <row r="340" spans="1:10" x14ac:dyDescent="0.25">
      <c r="A340" t="s">
        <v>376</v>
      </c>
      <c r="B340" s="16">
        <v>45967</v>
      </c>
      <c r="C340" t="s">
        <v>25</v>
      </c>
      <c r="D340" t="s">
        <v>22</v>
      </c>
      <c r="E340" t="s">
        <v>45</v>
      </c>
      <c r="F340" t="s">
        <v>19</v>
      </c>
      <c r="G340" t="s">
        <v>15</v>
      </c>
      <c r="H340" s="2">
        <v>134.32</v>
      </c>
      <c r="I340">
        <v>11</v>
      </c>
      <c r="J340" s="2">
        <v>1477.52</v>
      </c>
    </row>
    <row r="341" spans="1:10" x14ac:dyDescent="0.25">
      <c r="A341" t="s">
        <v>377</v>
      </c>
      <c r="B341" s="16">
        <v>45986</v>
      </c>
      <c r="C341" t="s">
        <v>34</v>
      </c>
      <c r="D341" t="s">
        <v>12</v>
      </c>
      <c r="E341" t="s">
        <v>23</v>
      </c>
      <c r="F341" t="s">
        <v>39</v>
      </c>
      <c r="G341" t="s">
        <v>20</v>
      </c>
      <c r="H341" s="2">
        <v>51.52</v>
      </c>
      <c r="I341">
        <v>19</v>
      </c>
      <c r="J341" s="2">
        <v>978.88</v>
      </c>
    </row>
    <row r="342" spans="1:10" x14ac:dyDescent="0.25">
      <c r="A342" t="s">
        <v>378</v>
      </c>
      <c r="B342" s="16">
        <v>45871</v>
      </c>
      <c r="C342" t="s">
        <v>17</v>
      </c>
      <c r="D342" t="s">
        <v>22</v>
      </c>
      <c r="E342" t="s">
        <v>41</v>
      </c>
      <c r="F342" t="s">
        <v>28</v>
      </c>
      <c r="G342" t="s">
        <v>20</v>
      </c>
      <c r="H342" s="2">
        <v>138.16</v>
      </c>
      <c r="I342">
        <v>20</v>
      </c>
      <c r="J342" s="2">
        <v>2763.2</v>
      </c>
    </row>
    <row r="343" spans="1:10" x14ac:dyDescent="0.25">
      <c r="A343" t="s">
        <v>379</v>
      </c>
      <c r="B343" s="16">
        <v>45806</v>
      </c>
      <c r="C343" t="s">
        <v>38</v>
      </c>
      <c r="D343" t="s">
        <v>26</v>
      </c>
      <c r="E343" t="s">
        <v>27</v>
      </c>
      <c r="F343" t="s">
        <v>61</v>
      </c>
      <c r="G343" t="s">
        <v>36</v>
      </c>
      <c r="H343" s="2">
        <v>134.16</v>
      </c>
      <c r="I343">
        <v>10</v>
      </c>
      <c r="J343" s="2">
        <v>1341.6</v>
      </c>
    </row>
    <row r="344" spans="1:10" x14ac:dyDescent="0.25">
      <c r="A344" t="s">
        <v>380</v>
      </c>
      <c r="B344" s="16">
        <v>45890</v>
      </c>
      <c r="C344" t="s">
        <v>17</v>
      </c>
      <c r="D344" t="s">
        <v>22</v>
      </c>
      <c r="E344" t="s">
        <v>23</v>
      </c>
      <c r="F344" t="s">
        <v>61</v>
      </c>
      <c r="G344" t="s">
        <v>36</v>
      </c>
      <c r="H344" s="2">
        <v>68.099999999999994</v>
      </c>
      <c r="I344">
        <v>3</v>
      </c>
      <c r="J344" s="2">
        <v>204.3</v>
      </c>
    </row>
    <row r="345" spans="1:10" x14ac:dyDescent="0.25">
      <c r="A345" t="s">
        <v>381</v>
      </c>
      <c r="B345" s="16">
        <v>45905</v>
      </c>
      <c r="C345" t="s">
        <v>30</v>
      </c>
      <c r="D345" t="s">
        <v>35</v>
      </c>
      <c r="E345" t="s">
        <v>18</v>
      </c>
      <c r="F345" t="s">
        <v>14</v>
      </c>
      <c r="G345" t="s">
        <v>36</v>
      </c>
      <c r="H345" s="2">
        <v>125.45</v>
      </c>
      <c r="I345">
        <v>15</v>
      </c>
      <c r="J345" s="2">
        <v>1881.75</v>
      </c>
    </row>
    <row r="346" spans="1:10" x14ac:dyDescent="0.25">
      <c r="A346" t="s">
        <v>382</v>
      </c>
      <c r="B346" s="16">
        <v>45821</v>
      </c>
      <c r="C346" t="s">
        <v>38</v>
      </c>
      <c r="D346" t="s">
        <v>26</v>
      </c>
      <c r="E346" t="s">
        <v>13</v>
      </c>
      <c r="F346" t="s">
        <v>42</v>
      </c>
      <c r="G346" t="s">
        <v>20</v>
      </c>
      <c r="H346" s="2">
        <v>117.67</v>
      </c>
      <c r="I346">
        <v>12</v>
      </c>
      <c r="J346" s="2">
        <v>1412.04</v>
      </c>
    </row>
    <row r="347" spans="1:10" x14ac:dyDescent="0.25">
      <c r="A347" t="s">
        <v>383</v>
      </c>
      <c r="B347" s="16">
        <v>45712</v>
      </c>
      <c r="C347" t="s">
        <v>30</v>
      </c>
      <c r="D347" t="s">
        <v>31</v>
      </c>
      <c r="E347" t="s">
        <v>45</v>
      </c>
      <c r="F347" t="s">
        <v>32</v>
      </c>
      <c r="G347" t="s">
        <v>36</v>
      </c>
      <c r="H347" s="2">
        <v>165.49</v>
      </c>
      <c r="I347">
        <v>11</v>
      </c>
      <c r="J347" s="2">
        <v>1820.39</v>
      </c>
    </row>
    <row r="348" spans="1:10" x14ac:dyDescent="0.25">
      <c r="A348" t="s">
        <v>384</v>
      </c>
      <c r="B348" s="16">
        <v>45784</v>
      </c>
      <c r="C348" t="s">
        <v>11</v>
      </c>
      <c r="D348" t="s">
        <v>22</v>
      </c>
      <c r="E348" t="s">
        <v>13</v>
      </c>
      <c r="F348" t="s">
        <v>61</v>
      </c>
      <c r="G348" t="s">
        <v>20</v>
      </c>
      <c r="H348" s="2">
        <v>169.72</v>
      </c>
      <c r="I348">
        <v>5</v>
      </c>
      <c r="J348" s="2">
        <v>848.6</v>
      </c>
    </row>
    <row r="349" spans="1:10" x14ac:dyDescent="0.25">
      <c r="A349" t="s">
        <v>385</v>
      </c>
      <c r="B349" s="16">
        <v>45872</v>
      </c>
      <c r="C349" t="s">
        <v>30</v>
      </c>
      <c r="D349" t="s">
        <v>35</v>
      </c>
      <c r="E349" t="s">
        <v>18</v>
      </c>
      <c r="F349" t="s">
        <v>28</v>
      </c>
      <c r="G349" t="s">
        <v>36</v>
      </c>
      <c r="H349" s="2">
        <v>39.97</v>
      </c>
      <c r="I349">
        <v>8</v>
      </c>
      <c r="J349" s="2">
        <v>319.76</v>
      </c>
    </row>
    <row r="350" spans="1:10" x14ac:dyDescent="0.25">
      <c r="A350" t="s">
        <v>386</v>
      </c>
      <c r="B350" s="16">
        <v>45755</v>
      </c>
      <c r="C350" t="s">
        <v>38</v>
      </c>
      <c r="D350" t="s">
        <v>55</v>
      </c>
      <c r="E350" t="s">
        <v>41</v>
      </c>
      <c r="F350" t="s">
        <v>61</v>
      </c>
      <c r="G350" t="s">
        <v>36</v>
      </c>
      <c r="H350" s="2">
        <v>112.41</v>
      </c>
      <c r="I350">
        <v>6</v>
      </c>
      <c r="J350" s="2">
        <v>674.46</v>
      </c>
    </row>
    <row r="351" spans="1:10" x14ac:dyDescent="0.25">
      <c r="A351" t="s">
        <v>387</v>
      </c>
      <c r="B351" s="16">
        <v>45912</v>
      </c>
      <c r="C351" t="s">
        <v>11</v>
      </c>
      <c r="D351" t="s">
        <v>31</v>
      </c>
      <c r="E351" t="s">
        <v>18</v>
      </c>
      <c r="F351" t="s">
        <v>61</v>
      </c>
      <c r="G351" t="s">
        <v>15</v>
      </c>
      <c r="H351" s="2">
        <v>167.69</v>
      </c>
      <c r="I351">
        <v>1</v>
      </c>
      <c r="J351" s="2">
        <v>167.69</v>
      </c>
    </row>
    <row r="352" spans="1:10" x14ac:dyDescent="0.25">
      <c r="A352" t="s">
        <v>388</v>
      </c>
      <c r="B352" s="16">
        <v>45768</v>
      </c>
      <c r="C352" t="s">
        <v>34</v>
      </c>
      <c r="D352" t="s">
        <v>22</v>
      </c>
      <c r="E352" t="s">
        <v>45</v>
      </c>
      <c r="F352" t="s">
        <v>32</v>
      </c>
      <c r="G352" t="s">
        <v>36</v>
      </c>
      <c r="H352" s="2">
        <v>140.69</v>
      </c>
      <c r="I352">
        <v>19</v>
      </c>
      <c r="J352" s="2">
        <v>2673.11</v>
      </c>
    </row>
    <row r="353" spans="1:10" x14ac:dyDescent="0.25">
      <c r="A353" t="s">
        <v>389</v>
      </c>
      <c r="B353" s="16">
        <v>45963</v>
      </c>
      <c r="C353" t="s">
        <v>34</v>
      </c>
      <c r="D353" t="s">
        <v>55</v>
      </c>
      <c r="E353" t="s">
        <v>45</v>
      </c>
      <c r="F353" t="s">
        <v>39</v>
      </c>
      <c r="G353" t="s">
        <v>15</v>
      </c>
      <c r="H353" s="2">
        <v>218.43</v>
      </c>
      <c r="I353">
        <v>16</v>
      </c>
      <c r="J353" s="2">
        <v>3494.88</v>
      </c>
    </row>
    <row r="354" spans="1:10" x14ac:dyDescent="0.25">
      <c r="A354" t="s">
        <v>390</v>
      </c>
      <c r="B354" s="16">
        <v>45878</v>
      </c>
      <c r="C354" t="s">
        <v>34</v>
      </c>
      <c r="D354" t="s">
        <v>12</v>
      </c>
      <c r="E354" t="s">
        <v>13</v>
      </c>
      <c r="F354" t="s">
        <v>39</v>
      </c>
      <c r="G354" t="s">
        <v>36</v>
      </c>
      <c r="H354" s="2">
        <v>174.91</v>
      </c>
      <c r="I354">
        <v>5</v>
      </c>
      <c r="J354" s="2">
        <v>874.55</v>
      </c>
    </row>
    <row r="355" spans="1:10" x14ac:dyDescent="0.25">
      <c r="A355" t="s">
        <v>391</v>
      </c>
      <c r="B355" s="16">
        <v>45845</v>
      </c>
      <c r="C355" t="s">
        <v>38</v>
      </c>
      <c r="D355" t="s">
        <v>22</v>
      </c>
      <c r="E355" t="s">
        <v>18</v>
      </c>
      <c r="F355" t="s">
        <v>42</v>
      </c>
      <c r="G355" t="s">
        <v>15</v>
      </c>
      <c r="H355" s="2">
        <v>65.849999999999994</v>
      </c>
      <c r="I355">
        <v>2</v>
      </c>
      <c r="J355" s="2">
        <v>131.69999999999999</v>
      </c>
    </row>
    <row r="356" spans="1:10" x14ac:dyDescent="0.25">
      <c r="A356" t="s">
        <v>392</v>
      </c>
      <c r="B356" s="16">
        <v>45843</v>
      </c>
      <c r="C356" t="s">
        <v>34</v>
      </c>
      <c r="D356" t="s">
        <v>22</v>
      </c>
      <c r="E356" t="s">
        <v>41</v>
      </c>
      <c r="F356" t="s">
        <v>42</v>
      </c>
      <c r="G356" t="s">
        <v>36</v>
      </c>
      <c r="H356" s="2">
        <v>45.53</v>
      </c>
      <c r="I356">
        <v>18</v>
      </c>
      <c r="J356" s="2">
        <v>819.54</v>
      </c>
    </row>
    <row r="357" spans="1:10" x14ac:dyDescent="0.25">
      <c r="A357" t="s">
        <v>393</v>
      </c>
      <c r="B357" s="16">
        <v>45939</v>
      </c>
      <c r="C357" t="s">
        <v>25</v>
      </c>
      <c r="D357" t="s">
        <v>12</v>
      </c>
      <c r="E357" t="s">
        <v>18</v>
      </c>
      <c r="F357" t="s">
        <v>19</v>
      </c>
      <c r="G357" t="s">
        <v>15</v>
      </c>
      <c r="H357" s="2">
        <v>171.33</v>
      </c>
      <c r="I357">
        <v>9</v>
      </c>
      <c r="J357" s="2">
        <v>1541.97</v>
      </c>
    </row>
    <row r="358" spans="1:10" x14ac:dyDescent="0.25">
      <c r="A358" t="s">
        <v>394</v>
      </c>
      <c r="B358" s="16">
        <v>45707</v>
      </c>
      <c r="C358" t="s">
        <v>34</v>
      </c>
      <c r="D358" t="s">
        <v>35</v>
      </c>
      <c r="E358" t="s">
        <v>18</v>
      </c>
      <c r="F358" t="s">
        <v>32</v>
      </c>
      <c r="G358" t="s">
        <v>15</v>
      </c>
      <c r="H358" s="2">
        <v>35.83</v>
      </c>
      <c r="I358">
        <v>13</v>
      </c>
      <c r="J358" s="2">
        <v>465.79</v>
      </c>
    </row>
    <row r="359" spans="1:10" x14ac:dyDescent="0.25">
      <c r="A359" t="s">
        <v>395</v>
      </c>
      <c r="B359" s="16">
        <v>45759</v>
      </c>
      <c r="C359" t="s">
        <v>25</v>
      </c>
      <c r="D359" t="s">
        <v>31</v>
      </c>
      <c r="E359" t="s">
        <v>18</v>
      </c>
      <c r="F359" t="s">
        <v>19</v>
      </c>
      <c r="G359" t="s">
        <v>15</v>
      </c>
      <c r="H359" s="2">
        <v>158.87</v>
      </c>
      <c r="I359">
        <v>20</v>
      </c>
      <c r="J359" s="2">
        <v>3177.4</v>
      </c>
    </row>
    <row r="360" spans="1:10" x14ac:dyDescent="0.25">
      <c r="A360" t="s">
        <v>396</v>
      </c>
      <c r="B360" s="16">
        <v>45677</v>
      </c>
      <c r="C360" t="s">
        <v>17</v>
      </c>
      <c r="D360" t="s">
        <v>35</v>
      </c>
      <c r="E360" t="s">
        <v>41</v>
      </c>
      <c r="F360" t="s">
        <v>42</v>
      </c>
      <c r="G360" t="s">
        <v>36</v>
      </c>
      <c r="H360" s="2">
        <v>236.85</v>
      </c>
      <c r="I360">
        <v>5</v>
      </c>
      <c r="J360" s="2">
        <v>1184.25</v>
      </c>
    </row>
    <row r="361" spans="1:10" x14ac:dyDescent="0.25">
      <c r="A361" t="s">
        <v>397</v>
      </c>
      <c r="B361" s="16">
        <v>45734</v>
      </c>
      <c r="C361" t="s">
        <v>25</v>
      </c>
      <c r="D361" t="s">
        <v>26</v>
      </c>
      <c r="E361" t="s">
        <v>13</v>
      </c>
      <c r="F361" t="s">
        <v>42</v>
      </c>
      <c r="G361" t="s">
        <v>36</v>
      </c>
      <c r="H361" s="2">
        <v>156.6</v>
      </c>
      <c r="I361">
        <v>20</v>
      </c>
      <c r="J361" s="2">
        <v>3132</v>
      </c>
    </row>
    <row r="362" spans="1:10" x14ac:dyDescent="0.25">
      <c r="A362" t="s">
        <v>398</v>
      </c>
      <c r="B362" s="16">
        <v>45741</v>
      </c>
      <c r="C362" t="s">
        <v>25</v>
      </c>
      <c r="D362" t="s">
        <v>12</v>
      </c>
      <c r="E362" t="s">
        <v>13</v>
      </c>
      <c r="F362" t="s">
        <v>42</v>
      </c>
      <c r="G362" t="s">
        <v>36</v>
      </c>
      <c r="H362" s="2">
        <v>115.4</v>
      </c>
      <c r="I362">
        <v>13</v>
      </c>
      <c r="J362" s="2">
        <v>1500.2</v>
      </c>
    </row>
    <row r="363" spans="1:10" x14ac:dyDescent="0.25">
      <c r="A363" t="s">
        <v>399</v>
      </c>
      <c r="B363" s="16">
        <v>45917</v>
      </c>
      <c r="C363" t="s">
        <v>25</v>
      </c>
      <c r="D363" t="s">
        <v>31</v>
      </c>
      <c r="E363" t="s">
        <v>27</v>
      </c>
      <c r="F363" t="s">
        <v>42</v>
      </c>
      <c r="G363" t="s">
        <v>36</v>
      </c>
      <c r="H363" s="2">
        <v>171.52</v>
      </c>
      <c r="I363">
        <v>17</v>
      </c>
      <c r="J363" s="2">
        <v>2915.84</v>
      </c>
    </row>
    <row r="364" spans="1:10" x14ac:dyDescent="0.25">
      <c r="A364" t="s">
        <v>400</v>
      </c>
      <c r="B364" s="16">
        <v>45901</v>
      </c>
      <c r="C364" t="s">
        <v>34</v>
      </c>
      <c r="D364" t="s">
        <v>35</v>
      </c>
      <c r="E364" t="s">
        <v>27</v>
      </c>
      <c r="F364" t="s">
        <v>19</v>
      </c>
      <c r="G364" t="s">
        <v>36</v>
      </c>
      <c r="H364" s="2">
        <v>130.82</v>
      </c>
      <c r="I364">
        <v>1</v>
      </c>
      <c r="J364" s="2">
        <v>130.82</v>
      </c>
    </row>
    <row r="365" spans="1:10" x14ac:dyDescent="0.25">
      <c r="A365" t="s">
        <v>401</v>
      </c>
      <c r="B365" s="16">
        <v>45956</v>
      </c>
      <c r="C365" t="s">
        <v>17</v>
      </c>
      <c r="D365" t="s">
        <v>12</v>
      </c>
      <c r="E365" t="s">
        <v>27</v>
      </c>
      <c r="F365" t="s">
        <v>19</v>
      </c>
      <c r="G365" t="s">
        <v>20</v>
      </c>
      <c r="H365" s="2">
        <v>150.04</v>
      </c>
      <c r="I365">
        <v>10</v>
      </c>
      <c r="J365" s="2">
        <v>1500.4</v>
      </c>
    </row>
    <row r="366" spans="1:10" x14ac:dyDescent="0.25">
      <c r="A366" t="s">
        <v>402</v>
      </c>
      <c r="B366" s="16">
        <v>45900</v>
      </c>
      <c r="C366" t="s">
        <v>17</v>
      </c>
      <c r="D366" t="s">
        <v>55</v>
      </c>
      <c r="E366" t="s">
        <v>18</v>
      </c>
      <c r="F366" t="s">
        <v>14</v>
      </c>
      <c r="G366" t="s">
        <v>20</v>
      </c>
      <c r="H366" s="2">
        <v>237.12</v>
      </c>
      <c r="I366">
        <v>9</v>
      </c>
      <c r="J366" s="2">
        <v>2134.08</v>
      </c>
    </row>
    <row r="367" spans="1:10" x14ac:dyDescent="0.25">
      <c r="A367" t="s">
        <v>403</v>
      </c>
      <c r="B367" s="16">
        <v>45684</v>
      </c>
      <c r="C367" t="s">
        <v>38</v>
      </c>
      <c r="D367" t="s">
        <v>26</v>
      </c>
      <c r="E367" t="s">
        <v>18</v>
      </c>
      <c r="F367" t="s">
        <v>28</v>
      </c>
      <c r="G367" t="s">
        <v>20</v>
      </c>
      <c r="H367" s="2">
        <v>114.94</v>
      </c>
      <c r="I367">
        <v>19</v>
      </c>
      <c r="J367" s="2">
        <v>2183.86</v>
      </c>
    </row>
    <row r="368" spans="1:10" x14ac:dyDescent="0.25">
      <c r="A368" t="s">
        <v>404</v>
      </c>
      <c r="B368" s="16">
        <v>45975</v>
      </c>
      <c r="C368" t="s">
        <v>30</v>
      </c>
      <c r="D368" t="s">
        <v>12</v>
      </c>
      <c r="E368" t="s">
        <v>23</v>
      </c>
      <c r="F368" t="s">
        <v>19</v>
      </c>
      <c r="G368" t="s">
        <v>20</v>
      </c>
      <c r="H368" s="2">
        <v>241.46</v>
      </c>
      <c r="I368">
        <v>13</v>
      </c>
      <c r="J368" s="2">
        <v>3138.98</v>
      </c>
    </row>
    <row r="369" spans="1:10" x14ac:dyDescent="0.25">
      <c r="A369" t="s">
        <v>405</v>
      </c>
      <c r="B369" s="16">
        <v>46016</v>
      </c>
      <c r="C369" t="s">
        <v>30</v>
      </c>
      <c r="D369" t="s">
        <v>22</v>
      </c>
      <c r="E369" t="s">
        <v>41</v>
      </c>
      <c r="F369" t="s">
        <v>32</v>
      </c>
      <c r="G369" t="s">
        <v>36</v>
      </c>
      <c r="H369" s="2">
        <v>229.18</v>
      </c>
      <c r="I369">
        <v>4</v>
      </c>
      <c r="J369" s="2">
        <v>916.72</v>
      </c>
    </row>
    <row r="370" spans="1:10" x14ac:dyDescent="0.25">
      <c r="A370" t="s">
        <v>406</v>
      </c>
      <c r="B370" s="16">
        <v>45735</v>
      </c>
      <c r="C370" t="s">
        <v>17</v>
      </c>
      <c r="D370" t="s">
        <v>26</v>
      </c>
      <c r="E370" t="s">
        <v>41</v>
      </c>
      <c r="F370" t="s">
        <v>42</v>
      </c>
      <c r="G370" t="s">
        <v>20</v>
      </c>
      <c r="H370" s="2">
        <v>73.069999999999993</v>
      </c>
      <c r="I370">
        <v>14</v>
      </c>
      <c r="J370" s="2">
        <v>1022.98</v>
      </c>
    </row>
    <row r="371" spans="1:10" x14ac:dyDescent="0.25">
      <c r="A371" t="s">
        <v>407</v>
      </c>
      <c r="B371" s="16">
        <v>45899</v>
      </c>
      <c r="C371" t="s">
        <v>17</v>
      </c>
      <c r="D371" t="s">
        <v>26</v>
      </c>
      <c r="E371" t="s">
        <v>18</v>
      </c>
      <c r="F371" t="s">
        <v>14</v>
      </c>
      <c r="G371" t="s">
        <v>20</v>
      </c>
      <c r="H371" s="2">
        <v>45.26</v>
      </c>
      <c r="I371">
        <v>2</v>
      </c>
      <c r="J371" s="2">
        <v>90.52</v>
      </c>
    </row>
    <row r="372" spans="1:10" x14ac:dyDescent="0.25">
      <c r="A372" t="s">
        <v>408</v>
      </c>
      <c r="B372" s="16">
        <v>45824</v>
      </c>
      <c r="C372" t="s">
        <v>25</v>
      </c>
      <c r="D372" t="s">
        <v>31</v>
      </c>
      <c r="E372" t="s">
        <v>13</v>
      </c>
      <c r="F372" t="s">
        <v>14</v>
      </c>
      <c r="G372" t="s">
        <v>36</v>
      </c>
      <c r="H372" s="2">
        <v>52.17</v>
      </c>
      <c r="I372">
        <v>16</v>
      </c>
      <c r="J372" s="2">
        <v>834.72</v>
      </c>
    </row>
    <row r="373" spans="1:10" x14ac:dyDescent="0.25">
      <c r="A373" t="s">
        <v>409</v>
      </c>
      <c r="B373" s="16">
        <v>45930</v>
      </c>
      <c r="C373" t="s">
        <v>25</v>
      </c>
      <c r="D373" t="s">
        <v>35</v>
      </c>
      <c r="E373" t="s">
        <v>27</v>
      </c>
      <c r="F373" t="s">
        <v>39</v>
      </c>
      <c r="G373" t="s">
        <v>20</v>
      </c>
      <c r="H373" s="2">
        <v>34.01</v>
      </c>
      <c r="I373">
        <v>11</v>
      </c>
      <c r="J373" s="2">
        <v>374.11</v>
      </c>
    </row>
    <row r="374" spans="1:10" x14ac:dyDescent="0.25">
      <c r="A374" t="s">
        <v>410</v>
      </c>
      <c r="B374" s="16">
        <v>46006</v>
      </c>
      <c r="C374" t="s">
        <v>25</v>
      </c>
      <c r="D374" t="s">
        <v>31</v>
      </c>
      <c r="E374" t="s">
        <v>23</v>
      </c>
      <c r="F374" t="s">
        <v>14</v>
      </c>
      <c r="G374" t="s">
        <v>36</v>
      </c>
      <c r="H374" s="2">
        <v>50.78</v>
      </c>
      <c r="I374">
        <v>9</v>
      </c>
      <c r="J374" s="2">
        <v>457.02</v>
      </c>
    </row>
    <row r="375" spans="1:10" x14ac:dyDescent="0.25">
      <c r="A375" t="s">
        <v>411</v>
      </c>
      <c r="B375" s="16">
        <v>45943</v>
      </c>
      <c r="C375" t="s">
        <v>30</v>
      </c>
      <c r="D375" t="s">
        <v>35</v>
      </c>
      <c r="E375" t="s">
        <v>13</v>
      </c>
      <c r="F375" t="s">
        <v>28</v>
      </c>
      <c r="G375" t="s">
        <v>15</v>
      </c>
      <c r="H375" s="2">
        <v>180.26</v>
      </c>
      <c r="I375">
        <v>10</v>
      </c>
      <c r="J375" s="2">
        <v>1802.6</v>
      </c>
    </row>
    <row r="376" spans="1:10" x14ac:dyDescent="0.25">
      <c r="A376" t="s">
        <v>412</v>
      </c>
      <c r="B376" s="16">
        <v>46011</v>
      </c>
      <c r="C376" t="s">
        <v>34</v>
      </c>
      <c r="D376" t="s">
        <v>31</v>
      </c>
      <c r="E376" t="s">
        <v>13</v>
      </c>
      <c r="F376" t="s">
        <v>42</v>
      </c>
      <c r="G376" t="s">
        <v>20</v>
      </c>
      <c r="H376" s="2">
        <v>45.66</v>
      </c>
      <c r="I376">
        <v>16</v>
      </c>
      <c r="J376" s="2">
        <v>730.56</v>
      </c>
    </row>
    <row r="377" spans="1:10" x14ac:dyDescent="0.25">
      <c r="A377" t="s">
        <v>413</v>
      </c>
      <c r="B377" s="16">
        <v>45798</v>
      </c>
      <c r="C377" t="s">
        <v>11</v>
      </c>
      <c r="D377" t="s">
        <v>55</v>
      </c>
      <c r="E377" t="s">
        <v>27</v>
      </c>
      <c r="F377" t="s">
        <v>42</v>
      </c>
      <c r="G377" t="s">
        <v>36</v>
      </c>
      <c r="H377" s="2">
        <v>100.17</v>
      </c>
      <c r="I377">
        <v>10</v>
      </c>
      <c r="J377" s="2">
        <v>1001.7</v>
      </c>
    </row>
    <row r="378" spans="1:10" x14ac:dyDescent="0.25">
      <c r="A378" t="s">
        <v>414</v>
      </c>
      <c r="B378" s="16">
        <v>45860</v>
      </c>
      <c r="C378" t="s">
        <v>30</v>
      </c>
      <c r="D378" t="s">
        <v>35</v>
      </c>
      <c r="E378" t="s">
        <v>45</v>
      </c>
      <c r="F378" t="s">
        <v>32</v>
      </c>
      <c r="G378" t="s">
        <v>20</v>
      </c>
      <c r="H378" s="2">
        <v>215.87</v>
      </c>
      <c r="I378">
        <v>12</v>
      </c>
      <c r="J378" s="2">
        <v>2590.44</v>
      </c>
    </row>
    <row r="379" spans="1:10" x14ac:dyDescent="0.25">
      <c r="A379" t="s">
        <v>415</v>
      </c>
      <c r="B379" s="16">
        <v>45698</v>
      </c>
      <c r="C379" t="s">
        <v>38</v>
      </c>
      <c r="D379" t="s">
        <v>12</v>
      </c>
      <c r="E379" t="s">
        <v>13</v>
      </c>
      <c r="F379" t="s">
        <v>28</v>
      </c>
      <c r="G379" t="s">
        <v>36</v>
      </c>
      <c r="H379" s="2">
        <v>35.119999999999997</v>
      </c>
      <c r="I379">
        <v>12</v>
      </c>
      <c r="J379" s="2">
        <v>421.44</v>
      </c>
    </row>
    <row r="380" spans="1:10" x14ac:dyDescent="0.25">
      <c r="A380" t="s">
        <v>416</v>
      </c>
      <c r="B380" s="16">
        <v>45767</v>
      </c>
      <c r="C380" t="s">
        <v>25</v>
      </c>
      <c r="D380" t="s">
        <v>35</v>
      </c>
      <c r="E380" t="s">
        <v>18</v>
      </c>
      <c r="F380" t="s">
        <v>28</v>
      </c>
      <c r="G380" t="s">
        <v>36</v>
      </c>
      <c r="H380" s="2">
        <v>209.18</v>
      </c>
      <c r="I380">
        <v>7</v>
      </c>
      <c r="J380" s="2">
        <v>1464.26</v>
      </c>
    </row>
    <row r="381" spans="1:10" x14ac:dyDescent="0.25">
      <c r="A381" t="s">
        <v>417</v>
      </c>
      <c r="B381" s="16">
        <v>45728</v>
      </c>
      <c r="C381" t="s">
        <v>25</v>
      </c>
      <c r="D381" t="s">
        <v>12</v>
      </c>
      <c r="E381" t="s">
        <v>18</v>
      </c>
      <c r="F381" t="s">
        <v>14</v>
      </c>
      <c r="G381" t="s">
        <v>15</v>
      </c>
      <c r="H381" s="2">
        <v>92.01</v>
      </c>
      <c r="I381">
        <v>4</v>
      </c>
      <c r="J381" s="2">
        <v>368.04</v>
      </c>
    </row>
    <row r="382" spans="1:10" x14ac:dyDescent="0.25">
      <c r="A382" t="s">
        <v>418</v>
      </c>
      <c r="B382" s="16">
        <v>45683</v>
      </c>
      <c r="C382" t="s">
        <v>30</v>
      </c>
      <c r="D382" t="s">
        <v>12</v>
      </c>
      <c r="E382" t="s">
        <v>23</v>
      </c>
      <c r="F382" t="s">
        <v>19</v>
      </c>
      <c r="G382" t="s">
        <v>15</v>
      </c>
      <c r="H382" s="2">
        <v>56</v>
      </c>
      <c r="I382">
        <v>17</v>
      </c>
      <c r="J382" s="2">
        <v>952</v>
      </c>
    </row>
    <row r="383" spans="1:10" x14ac:dyDescent="0.25">
      <c r="A383" t="s">
        <v>419</v>
      </c>
      <c r="B383" s="16">
        <v>45869</v>
      </c>
      <c r="C383" t="s">
        <v>17</v>
      </c>
      <c r="D383" t="s">
        <v>31</v>
      </c>
      <c r="E383" t="s">
        <v>45</v>
      </c>
      <c r="F383" t="s">
        <v>28</v>
      </c>
      <c r="G383" t="s">
        <v>15</v>
      </c>
      <c r="H383" s="2">
        <v>183.28</v>
      </c>
      <c r="I383">
        <v>11</v>
      </c>
      <c r="J383" s="2">
        <v>2016.08</v>
      </c>
    </row>
    <row r="384" spans="1:10" x14ac:dyDescent="0.25">
      <c r="A384" t="s">
        <v>420</v>
      </c>
      <c r="B384" s="16">
        <v>45660</v>
      </c>
      <c r="C384" t="s">
        <v>30</v>
      </c>
      <c r="D384" t="s">
        <v>31</v>
      </c>
      <c r="E384" t="s">
        <v>27</v>
      </c>
      <c r="F384" t="s">
        <v>61</v>
      </c>
      <c r="G384" t="s">
        <v>36</v>
      </c>
      <c r="H384" s="2">
        <v>168.37</v>
      </c>
      <c r="I384">
        <v>18</v>
      </c>
      <c r="J384" s="2">
        <v>3030.66</v>
      </c>
    </row>
    <row r="385" spans="1:10" x14ac:dyDescent="0.25">
      <c r="A385" t="s">
        <v>421</v>
      </c>
      <c r="B385" s="16">
        <v>45991</v>
      </c>
      <c r="C385" t="s">
        <v>34</v>
      </c>
      <c r="D385" t="s">
        <v>35</v>
      </c>
      <c r="E385" t="s">
        <v>13</v>
      </c>
      <c r="F385" t="s">
        <v>28</v>
      </c>
      <c r="G385" t="s">
        <v>15</v>
      </c>
      <c r="H385" s="2">
        <v>223.04</v>
      </c>
      <c r="I385">
        <v>7</v>
      </c>
      <c r="J385" s="2">
        <v>1561.28</v>
      </c>
    </row>
    <row r="386" spans="1:10" x14ac:dyDescent="0.25">
      <c r="A386" t="s">
        <v>422</v>
      </c>
      <c r="B386" s="16">
        <v>45703</v>
      </c>
      <c r="C386" t="s">
        <v>30</v>
      </c>
      <c r="D386" t="s">
        <v>55</v>
      </c>
      <c r="E386" t="s">
        <v>27</v>
      </c>
      <c r="F386" t="s">
        <v>28</v>
      </c>
      <c r="G386" t="s">
        <v>15</v>
      </c>
      <c r="H386" s="2">
        <v>191.72</v>
      </c>
      <c r="I386">
        <v>19</v>
      </c>
      <c r="J386" s="2">
        <v>3642.68</v>
      </c>
    </row>
    <row r="387" spans="1:10" x14ac:dyDescent="0.25">
      <c r="A387" t="s">
        <v>423</v>
      </c>
      <c r="B387" s="16">
        <v>45747</v>
      </c>
      <c r="C387" t="s">
        <v>30</v>
      </c>
      <c r="D387" t="s">
        <v>22</v>
      </c>
      <c r="E387" t="s">
        <v>41</v>
      </c>
      <c r="F387" t="s">
        <v>39</v>
      </c>
      <c r="G387" t="s">
        <v>36</v>
      </c>
      <c r="H387" s="2">
        <v>206.77</v>
      </c>
      <c r="I387">
        <v>14</v>
      </c>
      <c r="J387" s="2">
        <v>2894.78</v>
      </c>
    </row>
    <row r="388" spans="1:10" x14ac:dyDescent="0.25">
      <c r="A388" t="s">
        <v>424</v>
      </c>
      <c r="B388" s="16">
        <v>45753</v>
      </c>
      <c r="C388" t="s">
        <v>11</v>
      </c>
      <c r="D388" t="s">
        <v>22</v>
      </c>
      <c r="E388" t="s">
        <v>13</v>
      </c>
      <c r="F388" t="s">
        <v>42</v>
      </c>
      <c r="G388" t="s">
        <v>20</v>
      </c>
      <c r="H388" s="2">
        <v>92.05</v>
      </c>
      <c r="I388">
        <v>10</v>
      </c>
      <c r="J388" s="2">
        <v>920.5</v>
      </c>
    </row>
    <row r="389" spans="1:10" x14ac:dyDescent="0.25">
      <c r="A389" t="s">
        <v>425</v>
      </c>
      <c r="B389" s="16">
        <v>45712</v>
      </c>
      <c r="C389" t="s">
        <v>34</v>
      </c>
      <c r="D389" t="s">
        <v>31</v>
      </c>
      <c r="E389" t="s">
        <v>27</v>
      </c>
      <c r="F389" t="s">
        <v>42</v>
      </c>
      <c r="G389" t="s">
        <v>20</v>
      </c>
      <c r="H389" s="2">
        <v>69.040000000000006</v>
      </c>
      <c r="I389">
        <v>11</v>
      </c>
      <c r="J389" s="2">
        <v>759.44</v>
      </c>
    </row>
    <row r="390" spans="1:10" x14ac:dyDescent="0.25">
      <c r="A390" t="s">
        <v>426</v>
      </c>
      <c r="B390" s="16">
        <v>45910</v>
      </c>
      <c r="C390" t="s">
        <v>25</v>
      </c>
      <c r="D390" t="s">
        <v>31</v>
      </c>
      <c r="E390" t="s">
        <v>13</v>
      </c>
      <c r="F390" t="s">
        <v>14</v>
      </c>
      <c r="G390" t="s">
        <v>15</v>
      </c>
      <c r="H390" s="2">
        <v>195.14</v>
      </c>
      <c r="I390">
        <v>5</v>
      </c>
      <c r="J390" s="2">
        <v>975.7</v>
      </c>
    </row>
    <row r="391" spans="1:10" x14ac:dyDescent="0.25">
      <c r="A391" t="s">
        <v>427</v>
      </c>
      <c r="B391" s="16">
        <v>45827</v>
      </c>
      <c r="C391" t="s">
        <v>17</v>
      </c>
      <c r="D391" t="s">
        <v>31</v>
      </c>
      <c r="E391" t="s">
        <v>27</v>
      </c>
      <c r="F391" t="s">
        <v>32</v>
      </c>
      <c r="G391" t="s">
        <v>20</v>
      </c>
      <c r="H391" s="2">
        <v>207.5</v>
      </c>
      <c r="I391">
        <v>6</v>
      </c>
      <c r="J391" s="2">
        <v>1245</v>
      </c>
    </row>
    <row r="392" spans="1:10" x14ac:dyDescent="0.25">
      <c r="A392" t="s">
        <v>428</v>
      </c>
      <c r="B392" s="16">
        <v>45753</v>
      </c>
      <c r="C392" t="s">
        <v>17</v>
      </c>
      <c r="D392" t="s">
        <v>35</v>
      </c>
      <c r="E392" t="s">
        <v>13</v>
      </c>
      <c r="F392" t="s">
        <v>42</v>
      </c>
      <c r="G392" t="s">
        <v>20</v>
      </c>
      <c r="H392" s="2">
        <v>247.91</v>
      </c>
      <c r="I392">
        <v>1</v>
      </c>
      <c r="J392" s="2">
        <v>247.91</v>
      </c>
    </row>
    <row r="393" spans="1:10" x14ac:dyDescent="0.25">
      <c r="A393" t="s">
        <v>429</v>
      </c>
      <c r="B393" s="16">
        <v>45756</v>
      </c>
      <c r="C393" t="s">
        <v>25</v>
      </c>
      <c r="D393" t="s">
        <v>12</v>
      </c>
      <c r="E393" t="s">
        <v>41</v>
      </c>
      <c r="F393" t="s">
        <v>39</v>
      </c>
      <c r="G393" t="s">
        <v>36</v>
      </c>
      <c r="H393" s="2">
        <v>120.78</v>
      </c>
      <c r="I393">
        <v>6</v>
      </c>
      <c r="J393" s="2">
        <v>724.68</v>
      </c>
    </row>
    <row r="394" spans="1:10" x14ac:dyDescent="0.25">
      <c r="A394" t="s">
        <v>430</v>
      </c>
      <c r="B394" s="16">
        <v>45921</v>
      </c>
      <c r="C394" t="s">
        <v>11</v>
      </c>
      <c r="D394" t="s">
        <v>31</v>
      </c>
      <c r="E394" t="s">
        <v>27</v>
      </c>
      <c r="F394" t="s">
        <v>19</v>
      </c>
      <c r="G394" t="s">
        <v>15</v>
      </c>
      <c r="H394" s="2">
        <v>111.84</v>
      </c>
      <c r="I394">
        <v>11</v>
      </c>
      <c r="J394" s="2">
        <v>1230.24</v>
      </c>
    </row>
    <row r="395" spans="1:10" x14ac:dyDescent="0.25">
      <c r="A395" t="s">
        <v>431</v>
      </c>
      <c r="B395" s="16">
        <v>45729</v>
      </c>
      <c r="C395" t="s">
        <v>34</v>
      </c>
      <c r="D395" t="s">
        <v>26</v>
      </c>
      <c r="E395" t="s">
        <v>45</v>
      </c>
      <c r="F395" t="s">
        <v>32</v>
      </c>
      <c r="G395" t="s">
        <v>36</v>
      </c>
      <c r="H395" s="2">
        <v>200.81</v>
      </c>
      <c r="I395">
        <v>16</v>
      </c>
      <c r="J395" s="2">
        <v>3212.96</v>
      </c>
    </row>
    <row r="396" spans="1:10" x14ac:dyDescent="0.25">
      <c r="A396" t="s">
        <v>432</v>
      </c>
      <c r="B396" s="16">
        <v>45778</v>
      </c>
      <c r="C396" t="s">
        <v>34</v>
      </c>
      <c r="D396" t="s">
        <v>35</v>
      </c>
      <c r="E396" t="s">
        <v>13</v>
      </c>
      <c r="F396" t="s">
        <v>42</v>
      </c>
      <c r="G396" t="s">
        <v>20</v>
      </c>
      <c r="H396" s="2">
        <v>104.98</v>
      </c>
      <c r="I396">
        <v>15</v>
      </c>
      <c r="J396" s="2">
        <v>1574.7</v>
      </c>
    </row>
    <row r="397" spans="1:10" x14ac:dyDescent="0.25">
      <c r="A397" t="s">
        <v>433</v>
      </c>
      <c r="B397" s="16">
        <v>45951</v>
      </c>
      <c r="C397" t="s">
        <v>34</v>
      </c>
      <c r="D397" t="s">
        <v>12</v>
      </c>
      <c r="E397" t="s">
        <v>13</v>
      </c>
      <c r="F397" t="s">
        <v>28</v>
      </c>
      <c r="G397" t="s">
        <v>15</v>
      </c>
      <c r="H397" s="2">
        <v>234.77</v>
      </c>
      <c r="I397">
        <v>1</v>
      </c>
      <c r="J397" s="2">
        <v>234.77</v>
      </c>
    </row>
    <row r="398" spans="1:10" x14ac:dyDescent="0.25">
      <c r="A398" t="s">
        <v>434</v>
      </c>
      <c r="B398" s="16">
        <v>45689</v>
      </c>
      <c r="C398" t="s">
        <v>38</v>
      </c>
      <c r="D398" t="s">
        <v>35</v>
      </c>
      <c r="E398" t="s">
        <v>23</v>
      </c>
      <c r="F398" t="s">
        <v>61</v>
      </c>
      <c r="G398" t="s">
        <v>20</v>
      </c>
      <c r="H398" s="2">
        <v>218.85</v>
      </c>
      <c r="I398">
        <v>4</v>
      </c>
      <c r="J398" s="2">
        <v>875.4</v>
      </c>
    </row>
    <row r="399" spans="1:10" x14ac:dyDescent="0.25">
      <c r="A399" t="s">
        <v>435</v>
      </c>
      <c r="B399" s="16">
        <v>45915</v>
      </c>
      <c r="C399" t="s">
        <v>17</v>
      </c>
      <c r="D399" t="s">
        <v>22</v>
      </c>
      <c r="E399" t="s">
        <v>27</v>
      </c>
      <c r="F399" t="s">
        <v>32</v>
      </c>
      <c r="G399" t="s">
        <v>36</v>
      </c>
      <c r="H399" s="2">
        <v>124.38</v>
      </c>
      <c r="I399">
        <v>10</v>
      </c>
      <c r="J399" s="2">
        <v>1243.8</v>
      </c>
    </row>
    <row r="400" spans="1:10" x14ac:dyDescent="0.25">
      <c r="A400" t="s">
        <v>436</v>
      </c>
      <c r="B400" s="16">
        <v>45972</v>
      </c>
      <c r="C400" t="s">
        <v>30</v>
      </c>
      <c r="D400" t="s">
        <v>26</v>
      </c>
      <c r="E400" t="s">
        <v>41</v>
      </c>
      <c r="F400" t="s">
        <v>14</v>
      </c>
      <c r="G400" t="s">
        <v>36</v>
      </c>
      <c r="H400" s="2">
        <v>195.19</v>
      </c>
      <c r="I400">
        <v>8</v>
      </c>
      <c r="J400" s="2">
        <v>1561.52</v>
      </c>
    </row>
    <row r="401" spans="1:10" x14ac:dyDescent="0.25">
      <c r="A401" t="s">
        <v>437</v>
      </c>
      <c r="B401" s="16">
        <v>45968</v>
      </c>
      <c r="C401" t="s">
        <v>38</v>
      </c>
      <c r="D401" t="s">
        <v>12</v>
      </c>
      <c r="E401" t="s">
        <v>18</v>
      </c>
      <c r="F401" t="s">
        <v>61</v>
      </c>
      <c r="G401" t="s">
        <v>20</v>
      </c>
      <c r="H401" s="2">
        <v>196</v>
      </c>
      <c r="I401">
        <v>12</v>
      </c>
      <c r="J401" s="2">
        <v>2352</v>
      </c>
    </row>
    <row r="402" spans="1:10" x14ac:dyDescent="0.25">
      <c r="A402" t="s">
        <v>438</v>
      </c>
      <c r="B402" s="16">
        <v>45998</v>
      </c>
      <c r="C402" t="s">
        <v>30</v>
      </c>
      <c r="D402" t="s">
        <v>12</v>
      </c>
      <c r="E402" t="s">
        <v>18</v>
      </c>
      <c r="F402" t="s">
        <v>39</v>
      </c>
      <c r="G402" t="s">
        <v>15</v>
      </c>
      <c r="H402" s="2">
        <v>52.69</v>
      </c>
      <c r="I402">
        <v>7</v>
      </c>
      <c r="J402" s="2">
        <v>368.83</v>
      </c>
    </row>
    <row r="403" spans="1:10" x14ac:dyDescent="0.25">
      <c r="A403" t="s">
        <v>439</v>
      </c>
      <c r="B403" s="16">
        <v>45927</v>
      </c>
      <c r="C403" t="s">
        <v>25</v>
      </c>
      <c r="D403" t="s">
        <v>12</v>
      </c>
      <c r="E403" t="s">
        <v>13</v>
      </c>
      <c r="F403" t="s">
        <v>19</v>
      </c>
      <c r="G403" t="s">
        <v>20</v>
      </c>
      <c r="H403" s="2">
        <v>228.56</v>
      </c>
      <c r="I403">
        <v>15</v>
      </c>
      <c r="J403" s="2">
        <v>3428.4</v>
      </c>
    </row>
    <row r="404" spans="1:10" x14ac:dyDescent="0.25">
      <c r="A404" t="s">
        <v>440</v>
      </c>
      <c r="B404" s="16">
        <v>45715</v>
      </c>
      <c r="C404" t="s">
        <v>25</v>
      </c>
      <c r="D404" t="s">
        <v>55</v>
      </c>
      <c r="E404" t="s">
        <v>23</v>
      </c>
      <c r="F404" t="s">
        <v>42</v>
      </c>
      <c r="G404" t="s">
        <v>20</v>
      </c>
      <c r="H404" s="2">
        <v>141.16</v>
      </c>
      <c r="I404">
        <v>2</v>
      </c>
      <c r="J404" s="2">
        <v>282.32</v>
      </c>
    </row>
    <row r="405" spans="1:10" x14ac:dyDescent="0.25">
      <c r="A405" t="s">
        <v>441</v>
      </c>
      <c r="B405" s="16">
        <v>45734</v>
      </c>
      <c r="C405" t="s">
        <v>34</v>
      </c>
      <c r="D405" t="s">
        <v>55</v>
      </c>
      <c r="E405" t="s">
        <v>41</v>
      </c>
      <c r="F405" t="s">
        <v>19</v>
      </c>
      <c r="G405" t="s">
        <v>20</v>
      </c>
      <c r="H405" s="2">
        <v>211.82</v>
      </c>
      <c r="I405">
        <v>6</v>
      </c>
      <c r="J405" s="2">
        <v>1270.92</v>
      </c>
    </row>
    <row r="406" spans="1:10" x14ac:dyDescent="0.25">
      <c r="A406" t="s">
        <v>442</v>
      </c>
      <c r="B406" s="16">
        <v>45763</v>
      </c>
      <c r="C406" t="s">
        <v>38</v>
      </c>
      <c r="D406" t="s">
        <v>22</v>
      </c>
      <c r="E406" t="s">
        <v>18</v>
      </c>
      <c r="F406" t="s">
        <v>61</v>
      </c>
      <c r="G406" t="s">
        <v>15</v>
      </c>
      <c r="H406" s="2">
        <v>100.41</v>
      </c>
      <c r="I406">
        <v>19</v>
      </c>
      <c r="J406" s="2">
        <v>1907.79</v>
      </c>
    </row>
    <row r="407" spans="1:10" x14ac:dyDescent="0.25">
      <c r="A407" t="s">
        <v>443</v>
      </c>
      <c r="B407" s="16">
        <v>45890</v>
      </c>
      <c r="C407" t="s">
        <v>25</v>
      </c>
      <c r="D407" t="s">
        <v>31</v>
      </c>
      <c r="E407" t="s">
        <v>41</v>
      </c>
      <c r="F407" t="s">
        <v>42</v>
      </c>
      <c r="G407" t="s">
        <v>15</v>
      </c>
      <c r="H407" s="2">
        <v>227.02</v>
      </c>
      <c r="I407">
        <v>5</v>
      </c>
      <c r="J407" s="2">
        <v>1135.0999999999999</v>
      </c>
    </row>
    <row r="408" spans="1:10" x14ac:dyDescent="0.25">
      <c r="A408" t="s">
        <v>444</v>
      </c>
      <c r="B408" s="16">
        <v>45944</v>
      </c>
      <c r="C408" t="s">
        <v>17</v>
      </c>
      <c r="D408" t="s">
        <v>35</v>
      </c>
      <c r="E408" t="s">
        <v>27</v>
      </c>
      <c r="F408" t="s">
        <v>19</v>
      </c>
      <c r="G408" t="s">
        <v>36</v>
      </c>
      <c r="H408" s="2">
        <v>115.62</v>
      </c>
      <c r="I408">
        <v>15</v>
      </c>
      <c r="J408" s="2">
        <v>1734.3</v>
      </c>
    </row>
    <row r="409" spans="1:10" x14ac:dyDescent="0.25">
      <c r="A409" t="s">
        <v>445</v>
      </c>
      <c r="B409" s="16">
        <v>45788</v>
      </c>
      <c r="C409" t="s">
        <v>17</v>
      </c>
      <c r="D409" t="s">
        <v>26</v>
      </c>
      <c r="E409" t="s">
        <v>18</v>
      </c>
      <c r="F409" t="s">
        <v>19</v>
      </c>
      <c r="G409" t="s">
        <v>15</v>
      </c>
      <c r="H409" s="2">
        <v>32.380000000000003</v>
      </c>
      <c r="I409">
        <v>1</v>
      </c>
      <c r="J409" s="2">
        <v>32.380000000000003</v>
      </c>
    </row>
    <row r="410" spans="1:10" x14ac:dyDescent="0.25">
      <c r="A410" t="s">
        <v>446</v>
      </c>
      <c r="B410" s="16">
        <v>45874</v>
      </c>
      <c r="C410" t="s">
        <v>17</v>
      </c>
      <c r="D410" t="s">
        <v>22</v>
      </c>
      <c r="E410" t="s">
        <v>18</v>
      </c>
      <c r="F410" t="s">
        <v>19</v>
      </c>
      <c r="G410" t="s">
        <v>15</v>
      </c>
      <c r="H410" s="2">
        <v>229.18</v>
      </c>
      <c r="I410">
        <v>12</v>
      </c>
      <c r="J410" s="2">
        <v>2750.16</v>
      </c>
    </row>
    <row r="411" spans="1:10" x14ac:dyDescent="0.25">
      <c r="A411" t="s">
        <v>447</v>
      </c>
      <c r="B411" s="16">
        <v>45899</v>
      </c>
      <c r="C411" t="s">
        <v>34</v>
      </c>
      <c r="D411" t="s">
        <v>31</v>
      </c>
      <c r="E411" t="s">
        <v>23</v>
      </c>
      <c r="F411" t="s">
        <v>39</v>
      </c>
      <c r="G411" t="s">
        <v>15</v>
      </c>
      <c r="H411" s="2">
        <v>50.08</v>
      </c>
      <c r="I411">
        <v>2</v>
      </c>
      <c r="J411" s="2">
        <v>100.16</v>
      </c>
    </row>
    <row r="412" spans="1:10" x14ac:dyDescent="0.25">
      <c r="A412" t="s">
        <v>448</v>
      </c>
      <c r="B412" s="16">
        <v>45986</v>
      </c>
      <c r="C412" t="s">
        <v>34</v>
      </c>
      <c r="D412" t="s">
        <v>31</v>
      </c>
      <c r="E412" t="s">
        <v>41</v>
      </c>
      <c r="F412" t="s">
        <v>39</v>
      </c>
      <c r="G412" t="s">
        <v>36</v>
      </c>
      <c r="H412" s="2">
        <v>100.25</v>
      </c>
      <c r="I412">
        <v>14</v>
      </c>
      <c r="J412" s="2">
        <v>1403.5</v>
      </c>
    </row>
    <row r="413" spans="1:10" x14ac:dyDescent="0.25">
      <c r="A413" t="s">
        <v>449</v>
      </c>
      <c r="B413" s="16">
        <v>45850</v>
      </c>
      <c r="C413" t="s">
        <v>17</v>
      </c>
      <c r="D413" t="s">
        <v>12</v>
      </c>
      <c r="E413" t="s">
        <v>18</v>
      </c>
      <c r="F413" t="s">
        <v>14</v>
      </c>
      <c r="G413" t="s">
        <v>20</v>
      </c>
      <c r="H413" s="2">
        <v>239.01</v>
      </c>
      <c r="I413">
        <v>3</v>
      </c>
      <c r="J413" s="2">
        <v>717.03</v>
      </c>
    </row>
    <row r="414" spans="1:10" x14ac:dyDescent="0.25">
      <c r="A414" t="s">
        <v>450</v>
      </c>
      <c r="B414" s="16">
        <v>45836</v>
      </c>
      <c r="C414" t="s">
        <v>30</v>
      </c>
      <c r="D414" t="s">
        <v>55</v>
      </c>
      <c r="E414" t="s">
        <v>41</v>
      </c>
      <c r="F414" t="s">
        <v>42</v>
      </c>
      <c r="G414" t="s">
        <v>15</v>
      </c>
      <c r="H414" s="2">
        <v>239.13</v>
      </c>
      <c r="I414">
        <v>4</v>
      </c>
      <c r="J414" s="2">
        <v>956.52</v>
      </c>
    </row>
    <row r="415" spans="1:10" x14ac:dyDescent="0.25">
      <c r="A415" t="s">
        <v>451</v>
      </c>
      <c r="B415" s="16">
        <v>45772</v>
      </c>
      <c r="C415" t="s">
        <v>11</v>
      </c>
      <c r="D415" t="s">
        <v>35</v>
      </c>
      <c r="E415" t="s">
        <v>41</v>
      </c>
      <c r="F415" t="s">
        <v>28</v>
      </c>
      <c r="G415" t="s">
        <v>20</v>
      </c>
      <c r="H415" s="2">
        <v>156.16</v>
      </c>
      <c r="I415">
        <v>1</v>
      </c>
      <c r="J415" s="2">
        <v>156.16</v>
      </c>
    </row>
    <row r="416" spans="1:10" x14ac:dyDescent="0.25">
      <c r="A416" t="s">
        <v>452</v>
      </c>
      <c r="B416" s="16">
        <v>45936</v>
      </c>
      <c r="C416" t="s">
        <v>25</v>
      </c>
      <c r="D416" t="s">
        <v>31</v>
      </c>
      <c r="E416" t="s">
        <v>23</v>
      </c>
      <c r="F416" t="s">
        <v>14</v>
      </c>
      <c r="G416" t="s">
        <v>36</v>
      </c>
      <c r="H416" s="2">
        <v>169</v>
      </c>
      <c r="I416">
        <v>14</v>
      </c>
      <c r="J416" s="2">
        <v>2366</v>
      </c>
    </row>
    <row r="417" spans="1:10" x14ac:dyDescent="0.25">
      <c r="A417" t="s">
        <v>453</v>
      </c>
      <c r="B417" s="16">
        <v>45835</v>
      </c>
      <c r="C417" t="s">
        <v>34</v>
      </c>
      <c r="D417" t="s">
        <v>26</v>
      </c>
      <c r="E417" t="s">
        <v>27</v>
      </c>
      <c r="F417" t="s">
        <v>39</v>
      </c>
      <c r="G417" t="s">
        <v>15</v>
      </c>
      <c r="H417" s="2">
        <v>128.66</v>
      </c>
      <c r="I417">
        <v>5</v>
      </c>
      <c r="J417" s="2">
        <v>643.29999999999995</v>
      </c>
    </row>
    <row r="418" spans="1:10" x14ac:dyDescent="0.25">
      <c r="A418" t="s">
        <v>454</v>
      </c>
      <c r="B418" s="16">
        <v>45674</v>
      </c>
      <c r="C418" t="s">
        <v>25</v>
      </c>
      <c r="D418" t="s">
        <v>22</v>
      </c>
      <c r="E418" t="s">
        <v>23</v>
      </c>
      <c r="F418" t="s">
        <v>14</v>
      </c>
      <c r="G418" t="s">
        <v>15</v>
      </c>
      <c r="H418" s="2">
        <v>94.51</v>
      </c>
      <c r="I418">
        <v>14</v>
      </c>
      <c r="J418" s="2">
        <v>1323.14</v>
      </c>
    </row>
    <row r="419" spans="1:10" x14ac:dyDescent="0.25">
      <c r="A419" t="s">
        <v>455</v>
      </c>
      <c r="B419" s="16">
        <v>45709</v>
      </c>
      <c r="C419" t="s">
        <v>11</v>
      </c>
      <c r="D419" t="s">
        <v>31</v>
      </c>
      <c r="E419" t="s">
        <v>18</v>
      </c>
      <c r="F419" t="s">
        <v>28</v>
      </c>
      <c r="G419" t="s">
        <v>20</v>
      </c>
      <c r="H419" s="2">
        <v>102.31</v>
      </c>
      <c r="I419">
        <v>20</v>
      </c>
      <c r="J419" s="2">
        <v>2046.2</v>
      </c>
    </row>
    <row r="420" spans="1:10" x14ac:dyDescent="0.25">
      <c r="A420" t="s">
        <v>456</v>
      </c>
      <c r="B420" s="16">
        <v>45682</v>
      </c>
      <c r="C420" t="s">
        <v>17</v>
      </c>
      <c r="D420" t="s">
        <v>22</v>
      </c>
      <c r="E420" t="s">
        <v>41</v>
      </c>
      <c r="F420" t="s">
        <v>61</v>
      </c>
      <c r="G420" t="s">
        <v>15</v>
      </c>
      <c r="H420" s="2">
        <v>177.95</v>
      </c>
      <c r="I420">
        <v>8</v>
      </c>
      <c r="J420" s="2">
        <v>1423.6</v>
      </c>
    </row>
    <row r="421" spans="1:10" x14ac:dyDescent="0.25">
      <c r="A421" t="s">
        <v>457</v>
      </c>
      <c r="B421" s="16">
        <v>45934</v>
      </c>
      <c r="C421" t="s">
        <v>11</v>
      </c>
      <c r="D421" t="s">
        <v>26</v>
      </c>
      <c r="E421" t="s">
        <v>18</v>
      </c>
      <c r="F421" t="s">
        <v>32</v>
      </c>
      <c r="G421" t="s">
        <v>15</v>
      </c>
      <c r="H421" s="2">
        <v>195.52</v>
      </c>
      <c r="I421">
        <v>7</v>
      </c>
      <c r="J421" s="2">
        <v>1368.64</v>
      </c>
    </row>
    <row r="422" spans="1:10" x14ac:dyDescent="0.25">
      <c r="A422" t="s">
        <v>458</v>
      </c>
      <c r="B422" s="16">
        <v>45952</v>
      </c>
      <c r="C422" t="s">
        <v>25</v>
      </c>
      <c r="D422" t="s">
        <v>55</v>
      </c>
      <c r="E422" t="s">
        <v>27</v>
      </c>
      <c r="F422" t="s">
        <v>39</v>
      </c>
      <c r="G422" t="s">
        <v>36</v>
      </c>
      <c r="H422" s="2">
        <v>204.15</v>
      </c>
      <c r="I422">
        <v>11</v>
      </c>
      <c r="J422" s="2">
        <v>2245.65</v>
      </c>
    </row>
    <row r="423" spans="1:10" x14ac:dyDescent="0.25">
      <c r="A423" t="s">
        <v>459</v>
      </c>
      <c r="B423" s="16">
        <v>45779</v>
      </c>
      <c r="C423" t="s">
        <v>30</v>
      </c>
      <c r="D423" t="s">
        <v>12</v>
      </c>
      <c r="E423" t="s">
        <v>18</v>
      </c>
      <c r="F423" t="s">
        <v>14</v>
      </c>
      <c r="G423" t="s">
        <v>36</v>
      </c>
      <c r="H423" s="2">
        <v>203.72</v>
      </c>
      <c r="I423">
        <v>10</v>
      </c>
      <c r="J423" s="2">
        <v>2037.2</v>
      </c>
    </row>
    <row r="424" spans="1:10" x14ac:dyDescent="0.25">
      <c r="A424" t="s">
        <v>460</v>
      </c>
      <c r="B424" s="16">
        <v>45811</v>
      </c>
      <c r="C424" t="s">
        <v>11</v>
      </c>
      <c r="D424" t="s">
        <v>55</v>
      </c>
      <c r="E424" t="s">
        <v>18</v>
      </c>
      <c r="F424" t="s">
        <v>28</v>
      </c>
      <c r="G424" t="s">
        <v>15</v>
      </c>
      <c r="H424" s="2">
        <v>50.07</v>
      </c>
      <c r="I424">
        <v>9</v>
      </c>
      <c r="J424" s="2">
        <v>450.63</v>
      </c>
    </row>
    <row r="425" spans="1:10" x14ac:dyDescent="0.25">
      <c r="A425" t="s">
        <v>461</v>
      </c>
      <c r="B425" s="16">
        <v>45978</v>
      </c>
      <c r="C425" t="s">
        <v>25</v>
      </c>
      <c r="D425" t="s">
        <v>31</v>
      </c>
      <c r="E425" t="s">
        <v>45</v>
      </c>
      <c r="F425" t="s">
        <v>32</v>
      </c>
      <c r="G425" t="s">
        <v>20</v>
      </c>
      <c r="H425" s="2">
        <v>138.77000000000001</v>
      </c>
      <c r="I425">
        <v>14</v>
      </c>
      <c r="J425" s="2">
        <v>1942.78</v>
      </c>
    </row>
    <row r="426" spans="1:10" x14ac:dyDescent="0.25">
      <c r="A426" t="s">
        <v>462</v>
      </c>
      <c r="B426" s="16">
        <v>46001</v>
      </c>
      <c r="C426" t="s">
        <v>25</v>
      </c>
      <c r="D426" t="s">
        <v>35</v>
      </c>
      <c r="E426" t="s">
        <v>27</v>
      </c>
      <c r="F426" t="s">
        <v>61</v>
      </c>
      <c r="G426" t="s">
        <v>36</v>
      </c>
      <c r="H426" s="2">
        <v>42.66</v>
      </c>
      <c r="I426">
        <v>13</v>
      </c>
      <c r="J426" s="2">
        <v>554.58000000000004</v>
      </c>
    </row>
    <row r="427" spans="1:10" x14ac:dyDescent="0.25">
      <c r="A427" t="s">
        <v>463</v>
      </c>
      <c r="B427" s="16">
        <v>45734</v>
      </c>
      <c r="C427" t="s">
        <v>38</v>
      </c>
      <c r="D427" t="s">
        <v>26</v>
      </c>
      <c r="E427" t="s">
        <v>18</v>
      </c>
      <c r="F427" t="s">
        <v>61</v>
      </c>
      <c r="G427" t="s">
        <v>15</v>
      </c>
      <c r="H427" s="2">
        <v>150.9</v>
      </c>
      <c r="I427">
        <v>10</v>
      </c>
      <c r="J427" s="2">
        <v>1509</v>
      </c>
    </row>
    <row r="428" spans="1:10" x14ac:dyDescent="0.25">
      <c r="A428" t="s">
        <v>464</v>
      </c>
      <c r="B428" s="16">
        <v>45773</v>
      </c>
      <c r="C428" t="s">
        <v>17</v>
      </c>
      <c r="D428" t="s">
        <v>26</v>
      </c>
      <c r="E428" t="s">
        <v>41</v>
      </c>
      <c r="F428" t="s">
        <v>19</v>
      </c>
      <c r="G428" t="s">
        <v>20</v>
      </c>
      <c r="H428" s="2">
        <v>127.14</v>
      </c>
      <c r="I428">
        <v>10</v>
      </c>
      <c r="J428" s="2">
        <v>1271.4000000000001</v>
      </c>
    </row>
    <row r="429" spans="1:10" x14ac:dyDescent="0.25">
      <c r="A429" t="s">
        <v>465</v>
      </c>
      <c r="B429" s="16">
        <v>45869</v>
      </c>
      <c r="C429" t="s">
        <v>25</v>
      </c>
      <c r="D429" t="s">
        <v>55</v>
      </c>
      <c r="E429" t="s">
        <v>23</v>
      </c>
      <c r="F429" t="s">
        <v>61</v>
      </c>
      <c r="G429" t="s">
        <v>15</v>
      </c>
      <c r="H429" s="2">
        <v>225.29</v>
      </c>
      <c r="I429">
        <v>14</v>
      </c>
      <c r="J429" s="2">
        <v>3154.06</v>
      </c>
    </row>
    <row r="430" spans="1:10" x14ac:dyDescent="0.25">
      <c r="A430" t="s">
        <v>466</v>
      </c>
      <c r="B430" s="16">
        <v>45788</v>
      </c>
      <c r="C430" t="s">
        <v>34</v>
      </c>
      <c r="D430" t="s">
        <v>12</v>
      </c>
      <c r="E430" t="s">
        <v>45</v>
      </c>
      <c r="F430" t="s">
        <v>61</v>
      </c>
      <c r="G430" t="s">
        <v>36</v>
      </c>
      <c r="H430" s="2">
        <v>107.2</v>
      </c>
      <c r="I430">
        <v>7</v>
      </c>
      <c r="J430" s="2">
        <v>750.4</v>
      </c>
    </row>
    <row r="431" spans="1:10" x14ac:dyDescent="0.25">
      <c r="A431" t="s">
        <v>467</v>
      </c>
      <c r="B431" s="16">
        <v>45705</v>
      </c>
      <c r="C431" t="s">
        <v>17</v>
      </c>
      <c r="D431" t="s">
        <v>26</v>
      </c>
      <c r="E431" t="s">
        <v>45</v>
      </c>
      <c r="F431" t="s">
        <v>32</v>
      </c>
      <c r="G431" t="s">
        <v>36</v>
      </c>
      <c r="H431" s="2">
        <v>55.75</v>
      </c>
      <c r="I431">
        <v>18</v>
      </c>
      <c r="J431" s="2">
        <v>1003.5</v>
      </c>
    </row>
    <row r="432" spans="1:10" x14ac:dyDescent="0.25">
      <c r="A432" t="s">
        <v>468</v>
      </c>
      <c r="B432" s="16">
        <v>46002</v>
      </c>
      <c r="C432" t="s">
        <v>25</v>
      </c>
      <c r="D432" t="s">
        <v>22</v>
      </c>
      <c r="E432" t="s">
        <v>45</v>
      </c>
      <c r="F432" t="s">
        <v>14</v>
      </c>
      <c r="G432" t="s">
        <v>20</v>
      </c>
      <c r="H432" s="2">
        <v>61.46</v>
      </c>
      <c r="I432">
        <v>20</v>
      </c>
      <c r="J432" s="2">
        <v>1229.2</v>
      </c>
    </row>
    <row r="433" spans="1:10" x14ac:dyDescent="0.25">
      <c r="A433" t="s">
        <v>469</v>
      </c>
      <c r="B433" s="16">
        <v>46001</v>
      </c>
      <c r="C433" t="s">
        <v>30</v>
      </c>
      <c r="D433" t="s">
        <v>31</v>
      </c>
      <c r="E433" t="s">
        <v>23</v>
      </c>
      <c r="F433" t="s">
        <v>39</v>
      </c>
      <c r="G433" t="s">
        <v>36</v>
      </c>
      <c r="H433" s="2">
        <v>197.53</v>
      </c>
      <c r="I433">
        <v>18</v>
      </c>
      <c r="J433" s="2">
        <v>3555.54</v>
      </c>
    </row>
    <row r="434" spans="1:10" x14ac:dyDescent="0.25">
      <c r="A434" t="s">
        <v>470</v>
      </c>
      <c r="B434" s="16">
        <v>45813</v>
      </c>
      <c r="C434" t="s">
        <v>30</v>
      </c>
      <c r="D434" t="s">
        <v>26</v>
      </c>
      <c r="E434" t="s">
        <v>27</v>
      </c>
      <c r="F434" t="s">
        <v>19</v>
      </c>
      <c r="G434" t="s">
        <v>20</v>
      </c>
      <c r="H434" s="2">
        <v>166.01</v>
      </c>
      <c r="I434">
        <v>1</v>
      </c>
      <c r="J434" s="2">
        <v>166.01</v>
      </c>
    </row>
    <row r="435" spans="1:10" x14ac:dyDescent="0.25">
      <c r="A435" t="s">
        <v>471</v>
      </c>
      <c r="B435" s="16">
        <v>45903</v>
      </c>
      <c r="C435" t="s">
        <v>17</v>
      </c>
      <c r="D435" t="s">
        <v>55</v>
      </c>
      <c r="E435" t="s">
        <v>27</v>
      </c>
      <c r="F435" t="s">
        <v>14</v>
      </c>
      <c r="G435" t="s">
        <v>36</v>
      </c>
      <c r="H435" s="2">
        <v>52.25</v>
      </c>
      <c r="I435">
        <v>8</v>
      </c>
      <c r="J435" s="2">
        <v>418</v>
      </c>
    </row>
    <row r="436" spans="1:10" x14ac:dyDescent="0.25">
      <c r="A436" t="s">
        <v>472</v>
      </c>
      <c r="B436" s="16">
        <v>45780</v>
      </c>
      <c r="C436" t="s">
        <v>34</v>
      </c>
      <c r="D436" t="s">
        <v>35</v>
      </c>
      <c r="E436" t="s">
        <v>41</v>
      </c>
      <c r="F436" t="s">
        <v>61</v>
      </c>
      <c r="G436" t="s">
        <v>20</v>
      </c>
      <c r="H436" s="2">
        <v>48.5</v>
      </c>
      <c r="I436">
        <v>18</v>
      </c>
      <c r="J436" s="2">
        <v>873</v>
      </c>
    </row>
    <row r="437" spans="1:10" x14ac:dyDescent="0.25">
      <c r="A437" t="s">
        <v>473</v>
      </c>
      <c r="B437" s="16">
        <v>45990</v>
      </c>
      <c r="C437" t="s">
        <v>34</v>
      </c>
      <c r="D437" t="s">
        <v>35</v>
      </c>
      <c r="E437" t="s">
        <v>13</v>
      </c>
      <c r="F437" t="s">
        <v>42</v>
      </c>
      <c r="G437" t="s">
        <v>36</v>
      </c>
      <c r="H437" s="2">
        <v>184.21</v>
      </c>
      <c r="I437">
        <v>12</v>
      </c>
      <c r="J437" s="2">
        <v>2210.52</v>
      </c>
    </row>
    <row r="438" spans="1:10" x14ac:dyDescent="0.25">
      <c r="A438" t="s">
        <v>474</v>
      </c>
      <c r="B438" s="16">
        <v>45896</v>
      </c>
      <c r="C438" t="s">
        <v>17</v>
      </c>
      <c r="D438" t="s">
        <v>31</v>
      </c>
      <c r="E438" t="s">
        <v>13</v>
      </c>
      <c r="F438" t="s">
        <v>14</v>
      </c>
      <c r="G438" t="s">
        <v>36</v>
      </c>
      <c r="H438" s="2">
        <v>46.01</v>
      </c>
      <c r="I438">
        <v>4</v>
      </c>
      <c r="J438" s="2">
        <v>184.04</v>
      </c>
    </row>
    <row r="439" spans="1:10" x14ac:dyDescent="0.25">
      <c r="A439" t="s">
        <v>475</v>
      </c>
      <c r="B439" s="16">
        <v>45818</v>
      </c>
      <c r="C439" t="s">
        <v>11</v>
      </c>
      <c r="D439" t="s">
        <v>55</v>
      </c>
      <c r="E439" t="s">
        <v>23</v>
      </c>
      <c r="F439" t="s">
        <v>28</v>
      </c>
      <c r="G439" t="s">
        <v>15</v>
      </c>
      <c r="H439" s="2">
        <v>210.81</v>
      </c>
      <c r="I439">
        <v>14</v>
      </c>
      <c r="J439" s="2">
        <v>2951.34</v>
      </c>
    </row>
    <row r="440" spans="1:10" x14ac:dyDescent="0.25">
      <c r="A440" t="s">
        <v>476</v>
      </c>
      <c r="B440" s="16">
        <v>45666</v>
      </c>
      <c r="C440" t="s">
        <v>25</v>
      </c>
      <c r="D440" t="s">
        <v>55</v>
      </c>
      <c r="E440" t="s">
        <v>18</v>
      </c>
      <c r="F440" t="s">
        <v>28</v>
      </c>
      <c r="G440" t="s">
        <v>36</v>
      </c>
      <c r="H440" s="2">
        <v>185.37</v>
      </c>
      <c r="I440">
        <v>9</v>
      </c>
      <c r="J440" s="2">
        <v>1668.33</v>
      </c>
    </row>
    <row r="441" spans="1:10" x14ac:dyDescent="0.25">
      <c r="A441" t="s">
        <v>477</v>
      </c>
      <c r="B441" s="16">
        <v>45809</v>
      </c>
      <c r="C441" t="s">
        <v>30</v>
      </c>
      <c r="D441" t="s">
        <v>35</v>
      </c>
      <c r="E441" t="s">
        <v>23</v>
      </c>
      <c r="F441" t="s">
        <v>61</v>
      </c>
      <c r="G441" t="s">
        <v>20</v>
      </c>
      <c r="H441" s="2">
        <v>47.9</v>
      </c>
      <c r="I441">
        <v>5</v>
      </c>
      <c r="J441" s="2">
        <v>239.5</v>
      </c>
    </row>
    <row r="442" spans="1:10" x14ac:dyDescent="0.25">
      <c r="A442" t="s">
        <v>478</v>
      </c>
      <c r="B442" s="16">
        <v>45783</v>
      </c>
      <c r="C442" t="s">
        <v>25</v>
      </c>
      <c r="D442" t="s">
        <v>12</v>
      </c>
      <c r="E442" t="s">
        <v>27</v>
      </c>
      <c r="F442" t="s">
        <v>32</v>
      </c>
      <c r="G442" t="s">
        <v>36</v>
      </c>
      <c r="H442" s="2">
        <v>48.66</v>
      </c>
      <c r="I442">
        <v>16</v>
      </c>
      <c r="J442" s="2">
        <v>778.56</v>
      </c>
    </row>
    <row r="443" spans="1:10" x14ac:dyDescent="0.25">
      <c r="A443" t="s">
        <v>479</v>
      </c>
      <c r="B443" s="16">
        <v>45908</v>
      </c>
      <c r="C443" t="s">
        <v>38</v>
      </c>
      <c r="D443" t="s">
        <v>26</v>
      </c>
      <c r="E443" t="s">
        <v>27</v>
      </c>
      <c r="F443" t="s">
        <v>39</v>
      </c>
      <c r="G443" t="s">
        <v>36</v>
      </c>
      <c r="H443" s="2">
        <v>247.06</v>
      </c>
      <c r="I443">
        <v>16</v>
      </c>
      <c r="J443" s="2">
        <v>3952.96</v>
      </c>
    </row>
    <row r="444" spans="1:10" x14ac:dyDescent="0.25">
      <c r="A444" t="s">
        <v>480</v>
      </c>
      <c r="B444" s="16">
        <v>45744</v>
      </c>
      <c r="C444" t="s">
        <v>17</v>
      </c>
      <c r="D444" t="s">
        <v>55</v>
      </c>
      <c r="E444" t="s">
        <v>41</v>
      </c>
      <c r="F444" t="s">
        <v>14</v>
      </c>
      <c r="G444" t="s">
        <v>20</v>
      </c>
      <c r="H444" s="2">
        <v>112.34</v>
      </c>
      <c r="I444">
        <v>5</v>
      </c>
      <c r="J444" s="2">
        <v>561.70000000000005</v>
      </c>
    </row>
    <row r="445" spans="1:10" x14ac:dyDescent="0.25">
      <c r="A445" t="s">
        <v>481</v>
      </c>
      <c r="B445" s="16">
        <v>45986</v>
      </c>
      <c r="C445" t="s">
        <v>25</v>
      </c>
      <c r="D445" t="s">
        <v>22</v>
      </c>
      <c r="E445" t="s">
        <v>45</v>
      </c>
      <c r="F445" t="s">
        <v>39</v>
      </c>
      <c r="G445" t="s">
        <v>20</v>
      </c>
      <c r="H445" s="2">
        <v>111.54</v>
      </c>
      <c r="I445">
        <v>2</v>
      </c>
      <c r="J445" s="2">
        <v>223.08</v>
      </c>
    </row>
    <row r="446" spans="1:10" x14ac:dyDescent="0.25">
      <c r="A446" t="s">
        <v>482</v>
      </c>
      <c r="B446" s="16">
        <v>45682</v>
      </c>
      <c r="C446" t="s">
        <v>38</v>
      </c>
      <c r="D446" t="s">
        <v>26</v>
      </c>
      <c r="E446" t="s">
        <v>27</v>
      </c>
      <c r="F446" t="s">
        <v>14</v>
      </c>
      <c r="G446" t="s">
        <v>15</v>
      </c>
      <c r="H446" s="2">
        <v>208.82</v>
      </c>
      <c r="I446">
        <v>1</v>
      </c>
      <c r="J446" s="2">
        <v>208.82</v>
      </c>
    </row>
    <row r="447" spans="1:10" x14ac:dyDescent="0.25">
      <c r="A447" t="s">
        <v>483</v>
      </c>
      <c r="B447" s="16">
        <v>46020</v>
      </c>
      <c r="C447" t="s">
        <v>11</v>
      </c>
      <c r="D447" t="s">
        <v>26</v>
      </c>
      <c r="E447" t="s">
        <v>18</v>
      </c>
      <c r="F447" t="s">
        <v>61</v>
      </c>
      <c r="G447" t="s">
        <v>36</v>
      </c>
      <c r="H447" s="2">
        <v>238.39</v>
      </c>
      <c r="I447">
        <v>5</v>
      </c>
      <c r="J447" s="2">
        <v>1191.95</v>
      </c>
    </row>
    <row r="448" spans="1:10" x14ac:dyDescent="0.25">
      <c r="A448" t="s">
        <v>484</v>
      </c>
      <c r="B448" s="16">
        <v>45688</v>
      </c>
      <c r="C448" t="s">
        <v>17</v>
      </c>
      <c r="D448" t="s">
        <v>12</v>
      </c>
      <c r="E448" t="s">
        <v>18</v>
      </c>
      <c r="F448" t="s">
        <v>61</v>
      </c>
      <c r="G448" t="s">
        <v>20</v>
      </c>
      <c r="H448" s="2">
        <v>246.92</v>
      </c>
      <c r="I448">
        <v>20</v>
      </c>
      <c r="J448" s="2">
        <v>4938.3999999999996</v>
      </c>
    </row>
    <row r="449" spans="1:10" x14ac:dyDescent="0.25">
      <c r="A449" t="s">
        <v>485</v>
      </c>
      <c r="B449" s="16">
        <v>45907</v>
      </c>
      <c r="C449" t="s">
        <v>11</v>
      </c>
      <c r="D449" t="s">
        <v>55</v>
      </c>
      <c r="E449" t="s">
        <v>18</v>
      </c>
      <c r="F449" t="s">
        <v>61</v>
      </c>
      <c r="G449" t="s">
        <v>15</v>
      </c>
      <c r="H449" s="2">
        <v>195.74</v>
      </c>
      <c r="I449">
        <v>1</v>
      </c>
      <c r="J449" s="2">
        <v>195.74</v>
      </c>
    </row>
    <row r="450" spans="1:10" x14ac:dyDescent="0.25">
      <c r="A450" t="s">
        <v>486</v>
      </c>
      <c r="B450" s="16">
        <v>45666</v>
      </c>
      <c r="C450" t="s">
        <v>17</v>
      </c>
      <c r="D450" t="s">
        <v>35</v>
      </c>
      <c r="E450" t="s">
        <v>18</v>
      </c>
      <c r="F450" t="s">
        <v>32</v>
      </c>
      <c r="G450" t="s">
        <v>15</v>
      </c>
      <c r="H450" s="2">
        <v>112.78</v>
      </c>
      <c r="I450">
        <v>17</v>
      </c>
      <c r="J450" s="2">
        <v>1917.26</v>
      </c>
    </row>
    <row r="451" spans="1:10" x14ac:dyDescent="0.25">
      <c r="A451" t="s">
        <v>487</v>
      </c>
      <c r="B451" s="16">
        <v>45915</v>
      </c>
      <c r="C451" t="s">
        <v>30</v>
      </c>
      <c r="D451" t="s">
        <v>22</v>
      </c>
      <c r="E451" t="s">
        <v>45</v>
      </c>
      <c r="F451" t="s">
        <v>42</v>
      </c>
      <c r="G451" t="s">
        <v>15</v>
      </c>
      <c r="H451" s="2">
        <v>48.37</v>
      </c>
      <c r="I451">
        <v>14</v>
      </c>
      <c r="J451" s="2">
        <v>677.18</v>
      </c>
    </row>
    <row r="452" spans="1:10" x14ac:dyDescent="0.25">
      <c r="A452" t="s">
        <v>488</v>
      </c>
      <c r="B452" s="16">
        <v>45781</v>
      </c>
      <c r="C452" t="s">
        <v>25</v>
      </c>
      <c r="D452" t="s">
        <v>55</v>
      </c>
      <c r="E452" t="s">
        <v>13</v>
      </c>
      <c r="F452" t="s">
        <v>39</v>
      </c>
      <c r="G452" t="s">
        <v>36</v>
      </c>
      <c r="H452" s="2">
        <v>200.97</v>
      </c>
      <c r="I452">
        <v>7</v>
      </c>
      <c r="J452" s="2">
        <v>1406.79</v>
      </c>
    </row>
    <row r="453" spans="1:10" x14ac:dyDescent="0.25">
      <c r="A453" t="s">
        <v>489</v>
      </c>
      <c r="B453" s="16">
        <v>45794</v>
      </c>
      <c r="C453" t="s">
        <v>11</v>
      </c>
      <c r="D453" t="s">
        <v>35</v>
      </c>
      <c r="E453" t="s">
        <v>41</v>
      </c>
      <c r="F453" t="s">
        <v>61</v>
      </c>
      <c r="G453" t="s">
        <v>20</v>
      </c>
      <c r="H453" s="2">
        <v>152.85</v>
      </c>
      <c r="I453">
        <v>13</v>
      </c>
      <c r="J453" s="2">
        <v>1987.05</v>
      </c>
    </row>
    <row r="454" spans="1:10" x14ac:dyDescent="0.25">
      <c r="A454" t="s">
        <v>490</v>
      </c>
      <c r="B454" s="16">
        <v>45782</v>
      </c>
      <c r="C454" t="s">
        <v>34</v>
      </c>
      <c r="D454" t="s">
        <v>12</v>
      </c>
      <c r="E454" t="s">
        <v>45</v>
      </c>
      <c r="F454" t="s">
        <v>28</v>
      </c>
      <c r="G454" t="s">
        <v>20</v>
      </c>
      <c r="H454" s="2">
        <v>123.33</v>
      </c>
      <c r="I454">
        <v>8</v>
      </c>
      <c r="J454" s="2">
        <v>986.64</v>
      </c>
    </row>
    <row r="455" spans="1:10" x14ac:dyDescent="0.25">
      <c r="A455" t="s">
        <v>491</v>
      </c>
      <c r="B455" s="16">
        <v>45674</v>
      </c>
      <c r="C455" t="s">
        <v>38</v>
      </c>
      <c r="D455" t="s">
        <v>31</v>
      </c>
      <c r="E455" t="s">
        <v>41</v>
      </c>
      <c r="F455" t="s">
        <v>42</v>
      </c>
      <c r="G455" t="s">
        <v>36</v>
      </c>
      <c r="H455" s="2">
        <v>229.4</v>
      </c>
      <c r="I455">
        <v>3</v>
      </c>
      <c r="J455" s="2">
        <v>688.2</v>
      </c>
    </row>
    <row r="456" spans="1:10" x14ac:dyDescent="0.25">
      <c r="A456" t="s">
        <v>492</v>
      </c>
      <c r="B456" s="16">
        <v>45686</v>
      </c>
      <c r="C456" t="s">
        <v>17</v>
      </c>
      <c r="D456" t="s">
        <v>26</v>
      </c>
      <c r="E456" t="s">
        <v>45</v>
      </c>
      <c r="F456" t="s">
        <v>61</v>
      </c>
      <c r="G456" t="s">
        <v>36</v>
      </c>
      <c r="H456" s="2">
        <v>54.46</v>
      </c>
      <c r="I456">
        <v>1</v>
      </c>
      <c r="J456" s="2">
        <v>54.46</v>
      </c>
    </row>
    <row r="457" spans="1:10" x14ac:dyDescent="0.25">
      <c r="A457" t="s">
        <v>493</v>
      </c>
      <c r="B457" s="16">
        <v>45988</v>
      </c>
      <c r="C457" t="s">
        <v>25</v>
      </c>
      <c r="D457" t="s">
        <v>22</v>
      </c>
      <c r="E457" t="s">
        <v>18</v>
      </c>
      <c r="F457" t="s">
        <v>19</v>
      </c>
      <c r="G457" t="s">
        <v>15</v>
      </c>
      <c r="H457" s="2">
        <v>138.38</v>
      </c>
      <c r="I457">
        <v>11</v>
      </c>
      <c r="J457" s="2">
        <v>1522.18</v>
      </c>
    </row>
    <row r="458" spans="1:10" x14ac:dyDescent="0.25">
      <c r="A458" t="s">
        <v>494</v>
      </c>
      <c r="B458" s="16">
        <v>45766</v>
      </c>
      <c r="C458" t="s">
        <v>38</v>
      </c>
      <c r="D458" t="s">
        <v>35</v>
      </c>
      <c r="E458" t="s">
        <v>45</v>
      </c>
      <c r="F458" t="s">
        <v>19</v>
      </c>
      <c r="G458" t="s">
        <v>20</v>
      </c>
      <c r="H458" s="2">
        <v>32.5</v>
      </c>
      <c r="I458">
        <v>19</v>
      </c>
      <c r="J458" s="2">
        <v>617.5</v>
      </c>
    </row>
    <row r="459" spans="1:10" x14ac:dyDescent="0.25">
      <c r="A459" t="s">
        <v>495</v>
      </c>
      <c r="B459" s="16">
        <v>45801</v>
      </c>
      <c r="C459" t="s">
        <v>25</v>
      </c>
      <c r="D459" t="s">
        <v>12</v>
      </c>
      <c r="E459" t="s">
        <v>45</v>
      </c>
      <c r="F459" t="s">
        <v>14</v>
      </c>
      <c r="G459" t="s">
        <v>36</v>
      </c>
      <c r="H459" s="2">
        <v>133.11000000000001</v>
      </c>
      <c r="I459">
        <v>18</v>
      </c>
      <c r="J459" s="2">
        <v>2395.98</v>
      </c>
    </row>
    <row r="460" spans="1:10" x14ac:dyDescent="0.25">
      <c r="A460" t="s">
        <v>496</v>
      </c>
      <c r="B460" s="16">
        <v>45666</v>
      </c>
      <c r="C460" t="s">
        <v>25</v>
      </c>
      <c r="D460" t="s">
        <v>26</v>
      </c>
      <c r="E460" t="s">
        <v>27</v>
      </c>
      <c r="F460" t="s">
        <v>39</v>
      </c>
      <c r="G460" t="s">
        <v>36</v>
      </c>
      <c r="H460" s="2">
        <v>42.39</v>
      </c>
      <c r="I460">
        <v>7</v>
      </c>
      <c r="J460" s="2">
        <v>296.73</v>
      </c>
    </row>
    <row r="461" spans="1:10" x14ac:dyDescent="0.25">
      <c r="A461" t="s">
        <v>497</v>
      </c>
      <c r="B461" s="16">
        <v>45697</v>
      </c>
      <c r="C461" t="s">
        <v>30</v>
      </c>
      <c r="D461" t="s">
        <v>55</v>
      </c>
      <c r="E461" t="s">
        <v>23</v>
      </c>
      <c r="F461" t="s">
        <v>42</v>
      </c>
      <c r="G461" t="s">
        <v>36</v>
      </c>
      <c r="H461" s="2">
        <v>56.14</v>
      </c>
      <c r="I461">
        <v>10</v>
      </c>
      <c r="J461" s="2">
        <v>561.4</v>
      </c>
    </row>
    <row r="462" spans="1:10" x14ac:dyDescent="0.25">
      <c r="A462" t="s">
        <v>498</v>
      </c>
      <c r="B462" s="16">
        <v>46004</v>
      </c>
      <c r="C462" t="s">
        <v>34</v>
      </c>
      <c r="D462" t="s">
        <v>31</v>
      </c>
      <c r="E462" t="s">
        <v>27</v>
      </c>
      <c r="F462" t="s">
        <v>14</v>
      </c>
      <c r="G462" t="s">
        <v>20</v>
      </c>
      <c r="H462" s="2">
        <v>55.86</v>
      </c>
      <c r="I462">
        <v>18</v>
      </c>
      <c r="J462" s="2">
        <v>1005.48</v>
      </c>
    </row>
    <row r="463" spans="1:10" x14ac:dyDescent="0.25">
      <c r="A463" t="s">
        <v>499</v>
      </c>
      <c r="B463" s="16">
        <v>45698</v>
      </c>
      <c r="C463" t="s">
        <v>17</v>
      </c>
      <c r="D463" t="s">
        <v>35</v>
      </c>
      <c r="E463" t="s">
        <v>45</v>
      </c>
      <c r="F463" t="s">
        <v>19</v>
      </c>
      <c r="G463" t="s">
        <v>36</v>
      </c>
      <c r="H463" s="2">
        <v>172.83</v>
      </c>
      <c r="I463">
        <v>17</v>
      </c>
      <c r="J463" s="2">
        <v>2938.11</v>
      </c>
    </row>
    <row r="464" spans="1:10" x14ac:dyDescent="0.25">
      <c r="A464" t="s">
        <v>500</v>
      </c>
      <c r="B464" s="16">
        <v>45776</v>
      </c>
      <c r="C464" t="s">
        <v>34</v>
      </c>
      <c r="D464" t="s">
        <v>55</v>
      </c>
      <c r="E464" t="s">
        <v>18</v>
      </c>
      <c r="F464" t="s">
        <v>42</v>
      </c>
      <c r="G464" t="s">
        <v>36</v>
      </c>
      <c r="H464" s="2">
        <v>194.13</v>
      </c>
      <c r="I464">
        <v>3</v>
      </c>
      <c r="J464" s="2">
        <v>582.39</v>
      </c>
    </row>
    <row r="465" spans="1:10" x14ac:dyDescent="0.25">
      <c r="A465" t="s">
        <v>501</v>
      </c>
      <c r="B465" s="16">
        <v>45825</v>
      </c>
      <c r="C465" t="s">
        <v>17</v>
      </c>
      <c r="D465" t="s">
        <v>35</v>
      </c>
      <c r="E465" t="s">
        <v>41</v>
      </c>
      <c r="F465" t="s">
        <v>61</v>
      </c>
      <c r="G465" t="s">
        <v>15</v>
      </c>
      <c r="H465" s="2">
        <v>158.34</v>
      </c>
      <c r="I465">
        <v>1</v>
      </c>
      <c r="J465" s="2">
        <v>158.34</v>
      </c>
    </row>
    <row r="466" spans="1:10" x14ac:dyDescent="0.25">
      <c r="A466" t="s">
        <v>502</v>
      </c>
      <c r="B466" s="16">
        <v>45840</v>
      </c>
      <c r="C466" t="s">
        <v>38</v>
      </c>
      <c r="D466" t="s">
        <v>31</v>
      </c>
      <c r="E466" t="s">
        <v>23</v>
      </c>
      <c r="F466" t="s">
        <v>28</v>
      </c>
      <c r="G466" t="s">
        <v>20</v>
      </c>
      <c r="H466" s="2">
        <v>241.68</v>
      </c>
      <c r="I466">
        <v>18</v>
      </c>
      <c r="J466" s="2">
        <v>4350.24</v>
      </c>
    </row>
    <row r="467" spans="1:10" x14ac:dyDescent="0.25">
      <c r="A467" t="s">
        <v>503</v>
      </c>
      <c r="B467" s="16">
        <v>45996</v>
      </c>
      <c r="C467" t="s">
        <v>11</v>
      </c>
      <c r="D467" t="s">
        <v>55</v>
      </c>
      <c r="E467" t="s">
        <v>13</v>
      </c>
      <c r="F467" t="s">
        <v>39</v>
      </c>
      <c r="G467" t="s">
        <v>15</v>
      </c>
      <c r="H467" s="2">
        <v>112.47</v>
      </c>
      <c r="I467">
        <v>13</v>
      </c>
      <c r="J467" s="2">
        <v>1462.11</v>
      </c>
    </row>
    <row r="468" spans="1:10" x14ac:dyDescent="0.25">
      <c r="A468" t="s">
        <v>504</v>
      </c>
      <c r="B468" s="16">
        <v>45695</v>
      </c>
      <c r="C468" t="s">
        <v>34</v>
      </c>
      <c r="D468" t="s">
        <v>26</v>
      </c>
      <c r="E468" t="s">
        <v>41</v>
      </c>
      <c r="F468" t="s">
        <v>28</v>
      </c>
      <c r="G468" t="s">
        <v>20</v>
      </c>
      <c r="H468" s="2">
        <v>92.86</v>
      </c>
      <c r="I468">
        <v>3</v>
      </c>
      <c r="J468" s="2">
        <v>278.58</v>
      </c>
    </row>
    <row r="469" spans="1:10" x14ac:dyDescent="0.25">
      <c r="A469" t="s">
        <v>505</v>
      </c>
      <c r="B469" s="16">
        <v>45736</v>
      </c>
      <c r="C469" t="s">
        <v>34</v>
      </c>
      <c r="D469" t="s">
        <v>35</v>
      </c>
      <c r="E469" t="s">
        <v>45</v>
      </c>
      <c r="F469" t="s">
        <v>19</v>
      </c>
      <c r="G469" t="s">
        <v>15</v>
      </c>
      <c r="H469" s="2">
        <v>221.09</v>
      </c>
      <c r="I469">
        <v>13</v>
      </c>
      <c r="J469" s="2">
        <v>2874.17</v>
      </c>
    </row>
    <row r="470" spans="1:10" x14ac:dyDescent="0.25">
      <c r="A470" t="s">
        <v>506</v>
      </c>
      <c r="B470" s="16">
        <v>45815</v>
      </c>
      <c r="C470" t="s">
        <v>34</v>
      </c>
      <c r="D470" t="s">
        <v>35</v>
      </c>
      <c r="E470" t="s">
        <v>45</v>
      </c>
      <c r="F470" t="s">
        <v>14</v>
      </c>
      <c r="G470" t="s">
        <v>15</v>
      </c>
      <c r="H470" s="2">
        <v>79.19</v>
      </c>
      <c r="I470">
        <v>15</v>
      </c>
      <c r="J470" s="2">
        <v>1187.8499999999999</v>
      </c>
    </row>
    <row r="471" spans="1:10" x14ac:dyDescent="0.25">
      <c r="A471" t="s">
        <v>507</v>
      </c>
      <c r="B471" s="16">
        <v>45753</v>
      </c>
      <c r="C471" t="s">
        <v>38</v>
      </c>
      <c r="D471" t="s">
        <v>55</v>
      </c>
      <c r="E471" t="s">
        <v>18</v>
      </c>
      <c r="F471" t="s">
        <v>42</v>
      </c>
      <c r="G471" t="s">
        <v>36</v>
      </c>
      <c r="H471" s="2">
        <v>241.91</v>
      </c>
      <c r="I471">
        <v>14</v>
      </c>
      <c r="J471" s="2">
        <v>3386.74</v>
      </c>
    </row>
    <row r="472" spans="1:10" x14ac:dyDescent="0.25">
      <c r="A472" t="s">
        <v>508</v>
      </c>
      <c r="B472" s="16">
        <v>45710</v>
      </c>
      <c r="C472" t="s">
        <v>11</v>
      </c>
      <c r="D472" t="s">
        <v>35</v>
      </c>
      <c r="E472" t="s">
        <v>18</v>
      </c>
      <c r="F472" t="s">
        <v>19</v>
      </c>
      <c r="G472" t="s">
        <v>20</v>
      </c>
      <c r="H472" s="2">
        <v>32.67</v>
      </c>
      <c r="I472">
        <v>1</v>
      </c>
      <c r="J472" s="2">
        <v>32.67</v>
      </c>
    </row>
    <row r="473" spans="1:10" x14ac:dyDescent="0.25">
      <c r="A473" t="s">
        <v>509</v>
      </c>
      <c r="B473" s="16">
        <v>45964</v>
      </c>
      <c r="C473" t="s">
        <v>38</v>
      </c>
      <c r="D473" t="s">
        <v>22</v>
      </c>
      <c r="E473" t="s">
        <v>13</v>
      </c>
      <c r="F473" t="s">
        <v>61</v>
      </c>
      <c r="G473" t="s">
        <v>36</v>
      </c>
      <c r="H473" s="2">
        <v>243.37</v>
      </c>
      <c r="I473">
        <v>11</v>
      </c>
      <c r="J473" s="2">
        <v>2677.07</v>
      </c>
    </row>
    <row r="474" spans="1:10" x14ac:dyDescent="0.25">
      <c r="A474" t="s">
        <v>510</v>
      </c>
      <c r="B474" s="16">
        <v>45701</v>
      </c>
      <c r="C474" t="s">
        <v>30</v>
      </c>
      <c r="D474" t="s">
        <v>55</v>
      </c>
      <c r="E474" t="s">
        <v>18</v>
      </c>
      <c r="F474" t="s">
        <v>14</v>
      </c>
      <c r="G474" t="s">
        <v>20</v>
      </c>
      <c r="H474" s="2">
        <v>39.5</v>
      </c>
      <c r="I474">
        <v>18</v>
      </c>
      <c r="J474" s="2">
        <v>711</v>
      </c>
    </row>
    <row r="475" spans="1:10" x14ac:dyDescent="0.25">
      <c r="A475" t="s">
        <v>511</v>
      </c>
      <c r="B475" s="16">
        <v>45852</v>
      </c>
      <c r="C475" t="s">
        <v>30</v>
      </c>
      <c r="D475" t="s">
        <v>35</v>
      </c>
      <c r="E475" t="s">
        <v>13</v>
      </c>
      <c r="F475" t="s">
        <v>32</v>
      </c>
      <c r="G475" t="s">
        <v>36</v>
      </c>
      <c r="H475" s="2">
        <v>226.05</v>
      </c>
      <c r="I475">
        <v>6</v>
      </c>
      <c r="J475" s="2">
        <v>1356.3</v>
      </c>
    </row>
    <row r="476" spans="1:10" x14ac:dyDescent="0.25">
      <c r="A476" t="s">
        <v>512</v>
      </c>
      <c r="B476" s="16">
        <v>45732</v>
      </c>
      <c r="C476" t="s">
        <v>30</v>
      </c>
      <c r="D476" t="s">
        <v>31</v>
      </c>
      <c r="E476" t="s">
        <v>13</v>
      </c>
      <c r="F476" t="s">
        <v>61</v>
      </c>
      <c r="G476" t="s">
        <v>36</v>
      </c>
      <c r="H476" s="2">
        <v>146.09</v>
      </c>
      <c r="I476">
        <v>3</v>
      </c>
      <c r="J476" s="2">
        <v>438.27</v>
      </c>
    </row>
    <row r="477" spans="1:10" x14ac:dyDescent="0.25">
      <c r="A477" t="s">
        <v>513</v>
      </c>
      <c r="B477" s="16">
        <v>45905</v>
      </c>
      <c r="C477" t="s">
        <v>34</v>
      </c>
      <c r="D477" t="s">
        <v>35</v>
      </c>
      <c r="E477" t="s">
        <v>23</v>
      </c>
      <c r="F477" t="s">
        <v>28</v>
      </c>
      <c r="G477" t="s">
        <v>20</v>
      </c>
      <c r="H477" s="2">
        <v>248.45</v>
      </c>
      <c r="I477">
        <v>3</v>
      </c>
      <c r="J477" s="2">
        <v>745.35</v>
      </c>
    </row>
    <row r="478" spans="1:10" x14ac:dyDescent="0.25">
      <c r="A478" t="s">
        <v>514</v>
      </c>
      <c r="B478" s="16">
        <v>45911</v>
      </c>
      <c r="C478" t="s">
        <v>25</v>
      </c>
      <c r="D478" t="s">
        <v>26</v>
      </c>
      <c r="E478" t="s">
        <v>41</v>
      </c>
      <c r="F478" t="s">
        <v>19</v>
      </c>
      <c r="G478" t="s">
        <v>15</v>
      </c>
      <c r="H478" s="2">
        <v>46.24</v>
      </c>
      <c r="I478">
        <v>20</v>
      </c>
      <c r="J478" s="2">
        <v>924.8</v>
      </c>
    </row>
    <row r="479" spans="1:10" x14ac:dyDescent="0.25">
      <c r="A479" t="s">
        <v>515</v>
      </c>
      <c r="B479" s="16">
        <v>45813</v>
      </c>
      <c r="C479" t="s">
        <v>38</v>
      </c>
      <c r="D479" t="s">
        <v>35</v>
      </c>
      <c r="E479" t="s">
        <v>18</v>
      </c>
      <c r="F479" t="s">
        <v>61</v>
      </c>
      <c r="G479" t="s">
        <v>36</v>
      </c>
      <c r="H479" s="2">
        <v>151.85</v>
      </c>
      <c r="I479">
        <v>1</v>
      </c>
      <c r="J479" s="2">
        <v>151.85</v>
      </c>
    </row>
    <row r="480" spans="1:10" x14ac:dyDescent="0.25">
      <c r="A480" t="s">
        <v>516</v>
      </c>
      <c r="B480" s="16">
        <v>45883</v>
      </c>
      <c r="C480" t="s">
        <v>38</v>
      </c>
      <c r="D480" t="s">
        <v>12</v>
      </c>
      <c r="E480" t="s">
        <v>18</v>
      </c>
      <c r="F480" t="s">
        <v>14</v>
      </c>
      <c r="G480" t="s">
        <v>36</v>
      </c>
      <c r="H480" s="2">
        <v>243.25</v>
      </c>
      <c r="I480">
        <v>11</v>
      </c>
      <c r="J480" s="2">
        <v>2675.75</v>
      </c>
    </row>
    <row r="481" spans="1:10" x14ac:dyDescent="0.25">
      <c r="A481" t="s">
        <v>517</v>
      </c>
      <c r="B481" s="16">
        <v>45822</v>
      </c>
      <c r="C481" t="s">
        <v>17</v>
      </c>
      <c r="D481" t="s">
        <v>26</v>
      </c>
      <c r="E481" t="s">
        <v>41</v>
      </c>
      <c r="F481" t="s">
        <v>32</v>
      </c>
      <c r="G481" t="s">
        <v>15</v>
      </c>
      <c r="H481" s="2">
        <v>145.08000000000001</v>
      </c>
      <c r="I481">
        <v>20</v>
      </c>
      <c r="J481" s="2">
        <v>2901.6</v>
      </c>
    </row>
    <row r="482" spans="1:10" x14ac:dyDescent="0.25">
      <c r="A482" t="s">
        <v>518</v>
      </c>
      <c r="B482" s="16">
        <v>45861</v>
      </c>
      <c r="C482" t="s">
        <v>34</v>
      </c>
      <c r="D482" t="s">
        <v>12</v>
      </c>
      <c r="E482" t="s">
        <v>27</v>
      </c>
      <c r="F482" t="s">
        <v>28</v>
      </c>
      <c r="G482" t="s">
        <v>36</v>
      </c>
      <c r="H482" s="2">
        <v>168.47</v>
      </c>
      <c r="I482">
        <v>11</v>
      </c>
      <c r="J482" s="2">
        <v>1853.17</v>
      </c>
    </row>
    <row r="483" spans="1:10" x14ac:dyDescent="0.25">
      <c r="A483" t="s">
        <v>519</v>
      </c>
      <c r="B483" s="16">
        <v>45952</v>
      </c>
      <c r="C483" t="s">
        <v>34</v>
      </c>
      <c r="D483" t="s">
        <v>31</v>
      </c>
      <c r="E483" t="s">
        <v>13</v>
      </c>
      <c r="F483" t="s">
        <v>39</v>
      </c>
      <c r="G483" t="s">
        <v>36</v>
      </c>
      <c r="H483" s="2">
        <v>183.06</v>
      </c>
      <c r="I483">
        <v>8</v>
      </c>
      <c r="J483" s="2">
        <v>1464.48</v>
      </c>
    </row>
    <row r="484" spans="1:10" x14ac:dyDescent="0.25">
      <c r="A484" t="s">
        <v>520</v>
      </c>
      <c r="B484" s="16">
        <v>45844</v>
      </c>
      <c r="C484" t="s">
        <v>25</v>
      </c>
      <c r="D484" t="s">
        <v>26</v>
      </c>
      <c r="E484" t="s">
        <v>18</v>
      </c>
      <c r="F484" t="s">
        <v>42</v>
      </c>
      <c r="G484" t="s">
        <v>15</v>
      </c>
      <c r="H484" s="2">
        <v>130</v>
      </c>
      <c r="I484">
        <v>4</v>
      </c>
      <c r="J484" s="2">
        <v>520</v>
      </c>
    </row>
    <row r="485" spans="1:10" x14ac:dyDescent="0.25">
      <c r="A485" t="s">
        <v>521</v>
      </c>
      <c r="B485" s="16">
        <v>46007</v>
      </c>
      <c r="C485" t="s">
        <v>11</v>
      </c>
      <c r="D485" t="s">
        <v>12</v>
      </c>
      <c r="E485" t="s">
        <v>41</v>
      </c>
      <c r="F485" t="s">
        <v>28</v>
      </c>
      <c r="G485" t="s">
        <v>15</v>
      </c>
      <c r="H485" s="2">
        <v>168.06</v>
      </c>
      <c r="I485">
        <v>18</v>
      </c>
      <c r="J485" s="2">
        <v>3025.08</v>
      </c>
    </row>
    <row r="486" spans="1:10" x14ac:dyDescent="0.25">
      <c r="A486" t="s">
        <v>522</v>
      </c>
      <c r="B486" s="16">
        <v>45882</v>
      </c>
      <c r="C486" t="s">
        <v>17</v>
      </c>
      <c r="D486" t="s">
        <v>22</v>
      </c>
      <c r="E486" t="s">
        <v>41</v>
      </c>
      <c r="F486" t="s">
        <v>28</v>
      </c>
      <c r="G486" t="s">
        <v>36</v>
      </c>
      <c r="H486" s="2">
        <v>158.55000000000001</v>
      </c>
      <c r="I486">
        <v>10</v>
      </c>
      <c r="J486" s="2">
        <v>1585.5</v>
      </c>
    </row>
    <row r="487" spans="1:10" x14ac:dyDescent="0.25">
      <c r="A487" t="s">
        <v>523</v>
      </c>
      <c r="B487" s="16">
        <v>45729</v>
      </c>
      <c r="C487" t="s">
        <v>30</v>
      </c>
      <c r="D487" t="s">
        <v>35</v>
      </c>
      <c r="E487" t="s">
        <v>27</v>
      </c>
      <c r="F487" t="s">
        <v>14</v>
      </c>
      <c r="G487" t="s">
        <v>20</v>
      </c>
      <c r="H487" s="2">
        <v>228.25</v>
      </c>
      <c r="I487">
        <v>10</v>
      </c>
      <c r="J487" s="2">
        <v>2282.5</v>
      </c>
    </row>
    <row r="488" spans="1:10" x14ac:dyDescent="0.25">
      <c r="A488" t="s">
        <v>524</v>
      </c>
      <c r="B488" s="16">
        <v>45874</v>
      </c>
      <c r="C488" t="s">
        <v>11</v>
      </c>
      <c r="D488" t="s">
        <v>31</v>
      </c>
      <c r="E488" t="s">
        <v>18</v>
      </c>
      <c r="F488" t="s">
        <v>61</v>
      </c>
      <c r="G488" t="s">
        <v>20</v>
      </c>
      <c r="H488" s="2">
        <v>40</v>
      </c>
      <c r="I488">
        <v>13</v>
      </c>
      <c r="J488" s="2">
        <v>520</v>
      </c>
    </row>
    <row r="489" spans="1:10" x14ac:dyDescent="0.25">
      <c r="A489" t="s">
        <v>525</v>
      </c>
      <c r="B489" s="16">
        <v>45863</v>
      </c>
      <c r="C489" t="s">
        <v>25</v>
      </c>
      <c r="D489" t="s">
        <v>12</v>
      </c>
      <c r="E489" t="s">
        <v>41</v>
      </c>
      <c r="F489" t="s">
        <v>42</v>
      </c>
      <c r="G489" t="s">
        <v>15</v>
      </c>
      <c r="H489" s="2">
        <v>91.81</v>
      </c>
      <c r="I489">
        <v>18</v>
      </c>
      <c r="J489" s="2">
        <v>1652.58</v>
      </c>
    </row>
    <row r="490" spans="1:10" x14ac:dyDescent="0.25">
      <c r="A490" t="s">
        <v>526</v>
      </c>
      <c r="B490" s="16">
        <v>45842</v>
      </c>
      <c r="C490" t="s">
        <v>25</v>
      </c>
      <c r="D490" t="s">
        <v>12</v>
      </c>
      <c r="E490" t="s">
        <v>45</v>
      </c>
      <c r="F490" t="s">
        <v>19</v>
      </c>
      <c r="G490" t="s">
        <v>15</v>
      </c>
      <c r="H490" s="2">
        <v>239.09</v>
      </c>
      <c r="I490">
        <v>18</v>
      </c>
      <c r="J490" s="2">
        <v>4303.62</v>
      </c>
    </row>
    <row r="491" spans="1:10" x14ac:dyDescent="0.25">
      <c r="A491" t="s">
        <v>527</v>
      </c>
      <c r="B491" s="16">
        <v>45994</v>
      </c>
      <c r="C491" t="s">
        <v>30</v>
      </c>
      <c r="D491" t="s">
        <v>12</v>
      </c>
      <c r="E491" t="s">
        <v>18</v>
      </c>
      <c r="F491" t="s">
        <v>19</v>
      </c>
      <c r="G491" t="s">
        <v>20</v>
      </c>
      <c r="H491" s="2">
        <v>225.86</v>
      </c>
      <c r="I491">
        <v>12</v>
      </c>
      <c r="J491" s="2">
        <v>2710.32</v>
      </c>
    </row>
    <row r="492" spans="1:10" x14ac:dyDescent="0.25">
      <c r="A492" t="s">
        <v>528</v>
      </c>
      <c r="B492" s="16">
        <v>45988</v>
      </c>
      <c r="C492" t="s">
        <v>34</v>
      </c>
      <c r="D492" t="s">
        <v>31</v>
      </c>
      <c r="E492" t="s">
        <v>45</v>
      </c>
      <c r="F492" t="s">
        <v>19</v>
      </c>
      <c r="G492" t="s">
        <v>15</v>
      </c>
      <c r="H492" s="2">
        <v>130.24</v>
      </c>
      <c r="I492">
        <v>13</v>
      </c>
      <c r="J492" s="2">
        <v>1693.12</v>
      </c>
    </row>
    <row r="493" spans="1:10" x14ac:dyDescent="0.25">
      <c r="A493" t="s">
        <v>529</v>
      </c>
      <c r="B493" s="16">
        <v>45790</v>
      </c>
      <c r="C493" t="s">
        <v>25</v>
      </c>
      <c r="D493" t="s">
        <v>12</v>
      </c>
      <c r="E493" t="s">
        <v>18</v>
      </c>
      <c r="F493" t="s">
        <v>42</v>
      </c>
      <c r="G493" t="s">
        <v>20</v>
      </c>
      <c r="H493" s="2">
        <v>166.43</v>
      </c>
      <c r="I493">
        <v>8</v>
      </c>
      <c r="J493" s="2">
        <v>1331.44</v>
      </c>
    </row>
    <row r="494" spans="1:10" x14ac:dyDescent="0.25">
      <c r="A494" t="s">
        <v>530</v>
      </c>
      <c r="B494" s="16">
        <v>46010</v>
      </c>
      <c r="C494" t="s">
        <v>30</v>
      </c>
      <c r="D494" t="s">
        <v>31</v>
      </c>
      <c r="E494" t="s">
        <v>13</v>
      </c>
      <c r="F494" t="s">
        <v>61</v>
      </c>
      <c r="G494" t="s">
        <v>36</v>
      </c>
      <c r="H494" s="2">
        <v>91.02</v>
      </c>
      <c r="I494">
        <v>19</v>
      </c>
      <c r="J494" s="2">
        <v>1729.38</v>
      </c>
    </row>
    <row r="495" spans="1:10" x14ac:dyDescent="0.25">
      <c r="A495" t="s">
        <v>531</v>
      </c>
      <c r="B495" s="16">
        <v>46005</v>
      </c>
      <c r="C495" t="s">
        <v>17</v>
      </c>
      <c r="D495" t="s">
        <v>55</v>
      </c>
      <c r="E495" t="s">
        <v>23</v>
      </c>
      <c r="F495" t="s">
        <v>32</v>
      </c>
      <c r="G495" t="s">
        <v>15</v>
      </c>
      <c r="H495" s="2">
        <v>71.39</v>
      </c>
      <c r="I495">
        <v>19</v>
      </c>
      <c r="J495" s="2">
        <v>1356.41</v>
      </c>
    </row>
    <row r="496" spans="1:10" x14ac:dyDescent="0.25">
      <c r="A496" t="s">
        <v>532</v>
      </c>
      <c r="B496" s="16">
        <v>45905</v>
      </c>
      <c r="C496" t="s">
        <v>34</v>
      </c>
      <c r="D496" t="s">
        <v>31</v>
      </c>
      <c r="E496" t="s">
        <v>45</v>
      </c>
      <c r="F496" t="s">
        <v>19</v>
      </c>
      <c r="G496" t="s">
        <v>20</v>
      </c>
      <c r="H496" s="2">
        <v>132.01</v>
      </c>
      <c r="I496">
        <v>4</v>
      </c>
      <c r="J496" s="2">
        <v>528.04</v>
      </c>
    </row>
    <row r="497" spans="1:10" x14ac:dyDescent="0.25">
      <c r="A497" t="s">
        <v>533</v>
      </c>
      <c r="B497" s="16">
        <v>45730</v>
      </c>
      <c r="C497" t="s">
        <v>34</v>
      </c>
      <c r="D497" t="s">
        <v>35</v>
      </c>
      <c r="E497" t="s">
        <v>41</v>
      </c>
      <c r="F497" t="s">
        <v>39</v>
      </c>
      <c r="G497" t="s">
        <v>15</v>
      </c>
      <c r="H497" s="2">
        <v>107.74</v>
      </c>
      <c r="I497">
        <v>12</v>
      </c>
      <c r="J497" s="2">
        <v>1292.8800000000001</v>
      </c>
    </row>
    <row r="498" spans="1:10" x14ac:dyDescent="0.25">
      <c r="A498" t="s">
        <v>534</v>
      </c>
      <c r="B498" s="16">
        <v>45924</v>
      </c>
      <c r="C498" t="s">
        <v>34</v>
      </c>
      <c r="D498" t="s">
        <v>31</v>
      </c>
      <c r="E498" t="s">
        <v>45</v>
      </c>
      <c r="F498" t="s">
        <v>61</v>
      </c>
      <c r="G498" t="s">
        <v>20</v>
      </c>
      <c r="H498" s="2">
        <v>158.4</v>
      </c>
      <c r="I498">
        <v>16</v>
      </c>
      <c r="J498" s="2">
        <v>2534.4</v>
      </c>
    </row>
    <row r="499" spans="1:10" x14ac:dyDescent="0.25">
      <c r="A499" t="s">
        <v>535</v>
      </c>
      <c r="B499" s="16">
        <v>46014</v>
      </c>
      <c r="C499" t="s">
        <v>34</v>
      </c>
      <c r="D499" t="s">
        <v>22</v>
      </c>
      <c r="E499" t="s">
        <v>13</v>
      </c>
      <c r="F499" t="s">
        <v>19</v>
      </c>
      <c r="G499" t="s">
        <v>20</v>
      </c>
      <c r="H499" s="2">
        <v>47.1</v>
      </c>
      <c r="I499">
        <v>15</v>
      </c>
      <c r="J499" s="2">
        <v>706.5</v>
      </c>
    </row>
    <row r="500" spans="1:10" x14ac:dyDescent="0.25">
      <c r="A500" t="s">
        <v>536</v>
      </c>
      <c r="B500" s="16">
        <v>45716</v>
      </c>
      <c r="C500" t="s">
        <v>34</v>
      </c>
      <c r="D500" t="s">
        <v>12</v>
      </c>
      <c r="E500" t="s">
        <v>45</v>
      </c>
      <c r="F500" t="s">
        <v>28</v>
      </c>
      <c r="G500" t="s">
        <v>15</v>
      </c>
      <c r="H500" s="2">
        <v>244.37</v>
      </c>
      <c r="I500">
        <v>1</v>
      </c>
      <c r="J500" s="2">
        <v>244.37</v>
      </c>
    </row>
  </sheetData>
  <mergeCells count="1">
    <mergeCell ref="P3:P12"/>
  </mergeCells>
  <pageMargins left="0.7" right="0.7" top="0.75" bottom="0.75" header="0.3" footer="0.3"/>
  <pageSetup paperSize="9" orientation="portrait" r:id="rId1"/>
  <ignoredErrors>
    <ignoredError sqref="O4" formula="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1"/>
  <sheetViews>
    <sheetView zoomScale="80" zoomScaleNormal="80" workbookViewId="0">
      <selection activeCell="E29" sqref="E29"/>
    </sheetView>
  </sheetViews>
  <sheetFormatPr defaultRowHeight="15" x14ac:dyDescent="0.25"/>
  <cols>
    <col min="2" max="2" width="14.140625" bestFit="1" customWidth="1"/>
    <col min="3" max="3" width="21" bestFit="1" customWidth="1"/>
    <col min="4" max="4" width="11" customWidth="1"/>
    <col min="5" max="5" width="13.42578125" customWidth="1"/>
  </cols>
  <sheetData>
    <row r="2" spans="2:5" x14ac:dyDescent="0.25">
      <c r="B2" t="s">
        <v>563</v>
      </c>
    </row>
    <row r="3" spans="2:5" x14ac:dyDescent="0.25">
      <c r="B3" s="14" t="s">
        <v>548</v>
      </c>
      <c r="C3" t="s">
        <v>547</v>
      </c>
      <c r="D3" t="s">
        <v>565</v>
      </c>
    </row>
    <row r="4" spans="2:5" x14ac:dyDescent="0.25">
      <c r="B4" s="15" t="s">
        <v>549</v>
      </c>
      <c r="C4" s="18">
        <v>14785.1</v>
      </c>
    </row>
    <row r="5" spans="2:5" x14ac:dyDescent="0.25">
      <c r="B5" s="15" t="s">
        <v>557</v>
      </c>
      <c r="C5" s="18">
        <v>5813.2400000000007</v>
      </c>
      <c r="D5" s="32">
        <f t="shared" ref="D5:D15" si="0">(C5-C4)/C4</f>
        <v>-0.6068176745507301</v>
      </c>
      <c r="E5" s="32"/>
    </row>
    <row r="6" spans="2:5" x14ac:dyDescent="0.25">
      <c r="B6" s="15" t="s">
        <v>550</v>
      </c>
      <c r="C6" s="18">
        <v>5219.2999999999993</v>
      </c>
      <c r="D6" s="32">
        <f t="shared" si="0"/>
        <v>-0.1021702183291936</v>
      </c>
      <c r="E6" s="18"/>
    </row>
    <row r="7" spans="2:5" x14ac:dyDescent="0.25">
      <c r="B7" s="15" t="s">
        <v>558</v>
      </c>
      <c r="C7" s="18">
        <v>8457.3799999999992</v>
      </c>
      <c r="D7" s="32">
        <f t="shared" si="0"/>
        <v>0.62040503515797141</v>
      </c>
    </row>
    <row r="8" spans="2:5" x14ac:dyDescent="0.25">
      <c r="B8" s="15" t="s">
        <v>559</v>
      </c>
      <c r="C8" s="18">
        <v>13568.95</v>
      </c>
      <c r="D8" s="32">
        <f t="shared" si="0"/>
        <v>0.60439166739581307</v>
      </c>
    </row>
    <row r="9" spans="2:5" x14ac:dyDescent="0.25">
      <c r="B9" s="15" t="s">
        <v>551</v>
      </c>
      <c r="C9" s="18">
        <v>13788.93</v>
      </c>
      <c r="D9" s="32">
        <f t="shared" si="0"/>
        <v>1.6212013457194519E-2</v>
      </c>
    </row>
    <row r="10" spans="2:5" x14ac:dyDescent="0.25">
      <c r="B10" s="15" t="s">
        <v>560</v>
      </c>
      <c r="C10" s="18">
        <v>6326.8099999999995</v>
      </c>
      <c r="D10" s="32">
        <f t="shared" si="0"/>
        <v>-0.54116744373928949</v>
      </c>
    </row>
    <row r="11" spans="2:5" x14ac:dyDescent="0.25">
      <c r="B11" s="15" t="s">
        <v>554</v>
      </c>
      <c r="C11" s="18">
        <v>4311.54</v>
      </c>
      <c r="D11" s="32">
        <f t="shared" si="0"/>
        <v>-0.31852861078489786</v>
      </c>
    </row>
    <row r="12" spans="2:5" x14ac:dyDescent="0.25">
      <c r="B12" s="15" t="s">
        <v>561</v>
      </c>
      <c r="C12" s="18">
        <v>9454.9599999999991</v>
      </c>
      <c r="D12" s="32">
        <f t="shared" si="0"/>
        <v>1.1929426608589968</v>
      </c>
    </row>
    <row r="13" spans="2:5" x14ac:dyDescent="0.25">
      <c r="B13" s="15" t="s">
        <v>555</v>
      </c>
      <c r="C13" s="18">
        <v>8634.0399999999991</v>
      </c>
      <c r="D13" s="32">
        <f t="shared" si="0"/>
        <v>-8.6824270012776372E-2</v>
      </c>
    </row>
    <row r="14" spans="2:5" x14ac:dyDescent="0.25">
      <c r="B14" s="15" t="s">
        <v>562</v>
      </c>
      <c r="C14" s="18">
        <v>14401.66</v>
      </c>
      <c r="D14" s="32">
        <f t="shared" si="0"/>
        <v>0.66800941390125612</v>
      </c>
    </row>
    <row r="15" spans="2:5" x14ac:dyDescent="0.25">
      <c r="B15" s="15" t="s">
        <v>556</v>
      </c>
      <c r="C15" s="18">
        <v>6481.8200000000006</v>
      </c>
      <c r="D15" s="32">
        <f t="shared" si="0"/>
        <v>-0.54992549469991647</v>
      </c>
    </row>
    <row r="16" spans="2:5" x14ac:dyDescent="0.25">
      <c r="B16" s="15" t="s">
        <v>552</v>
      </c>
      <c r="C16" s="18">
        <v>111243.73</v>
      </c>
    </row>
    <row r="18" spans="2:6" x14ac:dyDescent="0.25">
      <c r="B18" s="15" t="s">
        <v>564</v>
      </c>
    </row>
    <row r="19" spans="2:6" x14ac:dyDescent="0.25">
      <c r="B19" s="14" t="s">
        <v>548</v>
      </c>
      <c r="C19" t="s">
        <v>547</v>
      </c>
    </row>
    <row r="20" spans="2:6" x14ac:dyDescent="0.25">
      <c r="B20" s="15" t="s">
        <v>550</v>
      </c>
      <c r="C20" s="18">
        <v>5219.2999999999993</v>
      </c>
      <c r="D20" s="33">
        <f>VLOOKUP(B20,$B$4:$D$15,3,FALSE)</f>
        <v>-0.1021702183291936</v>
      </c>
      <c r="E20" s="34" t="str">
        <f>IF(D20&gt;=0, "▲ "&amp;TEXT(D20,"0,00%"), "▼ "&amp;TEXT(ABS(D20),"0,00%"))</f>
        <v>▼ 10,22%</v>
      </c>
      <c r="F20" s="33"/>
    </row>
    <row r="21" spans="2:6" x14ac:dyDescent="0.25">
      <c r="B21" s="15" t="s">
        <v>552</v>
      </c>
      <c r="C21" s="18">
        <v>5219.2999999999993</v>
      </c>
    </row>
  </sheetData>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iconSet" priority="7" id="{6FC9191F-047B-491E-B612-3B66C9EA67FE}">
            <x14:iconSet iconSet="3Triangles" custom="1">
              <x14:cfvo type="percent">
                <xm:f>0</xm:f>
              </x14:cfvo>
              <x14:cfvo type="percent">
                <xm:f>33</xm:f>
              </x14:cfvo>
              <x14:cfvo type="percent">
                <xm:f>67</xm:f>
              </x14:cfvo>
              <x14:cfIcon iconSet="3Triangles" iconId="0"/>
              <x14:cfIcon iconSet="3Triangles" iconId="2"/>
              <x14:cfIcon iconSet="3Triangles" iconId="2"/>
            </x14:iconSet>
          </x14:cfRule>
          <xm:sqref>D4:D15</xm:sqref>
        </x14:conditionalFormatting>
        <x14:conditionalFormatting xmlns:xm="http://schemas.microsoft.com/office/excel/2006/main">
          <x14:cfRule type="iconSet" priority="1" id="{AFBEE4E0-0687-4EC3-95F0-6DA22A72B4F0}">
            <x14:iconSet iconSet="3Triangles">
              <x14:cfvo type="percent">
                <xm:f>0</xm:f>
              </x14:cfvo>
              <x14:cfvo type="percent">
                <xm:f>33</xm:f>
              </x14:cfvo>
              <x14:cfvo type="percent">
                <xm:f>67</xm:f>
              </x14:cfvo>
            </x14:iconSet>
          </x14:cfRule>
          <xm:sqref>F20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9"/>
  <sheetViews>
    <sheetView workbookViewId="0">
      <selection activeCell="H22" sqref="H22"/>
    </sheetView>
  </sheetViews>
  <sheetFormatPr defaultRowHeight="15" x14ac:dyDescent="0.25"/>
  <cols>
    <col min="1" max="1" width="13.140625" customWidth="1"/>
    <col min="2" max="2" width="20.42578125" bestFit="1" customWidth="1"/>
    <col min="3" max="3" width="4.140625" customWidth="1"/>
    <col min="4" max="4" width="13.140625" customWidth="1"/>
    <col min="5" max="5" width="20.42578125" bestFit="1" customWidth="1"/>
    <col min="6" max="6" width="2.28515625" customWidth="1"/>
    <col min="7" max="7" width="13.140625" bestFit="1" customWidth="1"/>
    <col min="8" max="8" width="20.42578125" bestFit="1" customWidth="1"/>
    <col min="9" max="9" width="2.28515625" customWidth="1"/>
    <col min="10" max="10" width="13.140625" bestFit="1" customWidth="1"/>
    <col min="11" max="11" width="17.42578125" customWidth="1"/>
  </cols>
  <sheetData>
    <row r="3" spans="1:12" x14ac:dyDescent="0.25">
      <c r="A3" s="14" t="s">
        <v>548</v>
      </c>
      <c r="B3" t="s">
        <v>547</v>
      </c>
      <c r="D3" s="14" t="s">
        <v>548</v>
      </c>
      <c r="E3" t="s">
        <v>547</v>
      </c>
      <c r="G3" s="14" t="s">
        <v>548</v>
      </c>
      <c r="H3" t="s">
        <v>547</v>
      </c>
    </row>
    <row r="4" spans="1:12" x14ac:dyDescent="0.25">
      <c r="A4" s="17" t="s">
        <v>17</v>
      </c>
      <c r="B4" s="18">
        <v>957.04</v>
      </c>
      <c r="D4" s="17" t="s">
        <v>14</v>
      </c>
      <c r="E4" s="18">
        <v>11334.24</v>
      </c>
      <c r="G4" s="17" t="s">
        <v>20</v>
      </c>
      <c r="H4" s="18">
        <v>914.31</v>
      </c>
      <c r="L4" s="19"/>
    </row>
    <row r="5" spans="1:12" x14ac:dyDescent="0.25">
      <c r="A5" s="17" t="s">
        <v>38</v>
      </c>
      <c r="B5" s="18">
        <v>1509</v>
      </c>
      <c r="D5" s="17" t="s">
        <v>19</v>
      </c>
      <c r="E5" s="18">
        <v>12562.74</v>
      </c>
      <c r="G5" s="17" t="s">
        <v>15</v>
      </c>
      <c r="H5" s="18">
        <v>1509</v>
      </c>
      <c r="L5" s="19"/>
    </row>
    <row r="6" spans="1:12" x14ac:dyDescent="0.25">
      <c r="A6" s="17" t="s">
        <v>30</v>
      </c>
      <c r="B6" s="18">
        <v>1838.9499999999998</v>
      </c>
      <c r="D6" s="17" t="s">
        <v>42</v>
      </c>
      <c r="E6" s="18">
        <v>13509.68</v>
      </c>
      <c r="G6" s="17" t="s">
        <v>36</v>
      </c>
      <c r="H6" s="18">
        <v>2795.99</v>
      </c>
      <c r="L6" s="19"/>
    </row>
    <row r="7" spans="1:12" x14ac:dyDescent="0.25">
      <c r="A7" s="17" t="s">
        <v>552</v>
      </c>
      <c r="B7" s="18">
        <v>4304.99</v>
      </c>
      <c r="D7" s="17" t="s">
        <v>552</v>
      </c>
      <c r="E7" s="18">
        <v>37406.659999999996</v>
      </c>
      <c r="G7" s="17" t="s">
        <v>552</v>
      </c>
      <c r="H7" s="18">
        <v>5219.2999999999993</v>
      </c>
      <c r="L7" s="19"/>
    </row>
    <row r="8" spans="1:12" x14ac:dyDescent="0.25">
      <c r="L8" s="19"/>
    </row>
    <row r="9" spans="1:12" x14ac:dyDescent="0.25">
      <c r="L9"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5"/>
  <sheetViews>
    <sheetView workbookViewId="0">
      <selection activeCell="H24" sqref="H24"/>
    </sheetView>
  </sheetViews>
  <sheetFormatPr defaultRowHeight="15" x14ac:dyDescent="0.25"/>
  <cols>
    <col min="2" max="2" width="13.140625" bestFit="1" customWidth="1"/>
    <col min="3" max="3" width="20.42578125" bestFit="1" customWidth="1"/>
    <col min="5" max="5" width="13.140625" bestFit="1" customWidth="1"/>
    <col min="6" max="6" width="20.42578125" bestFit="1" customWidth="1"/>
    <col min="8" max="8" width="13.140625" bestFit="1" customWidth="1"/>
    <col min="9" max="9" width="17.42578125" bestFit="1" customWidth="1"/>
    <col min="11" max="11" width="13.140625" bestFit="1" customWidth="1"/>
    <col min="12" max="12" width="17.42578125" bestFit="1" customWidth="1"/>
  </cols>
  <sheetData>
    <row r="2" spans="2:12" x14ac:dyDescent="0.25">
      <c r="B2" s="14" t="s">
        <v>548</v>
      </c>
      <c r="C2" t="s">
        <v>547</v>
      </c>
      <c r="E2" s="14" t="s">
        <v>548</v>
      </c>
      <c r="F2" t="s">
        <v>547</v>
      </c>
      <c r="H2" s="14" t="s">
        <v>548</v>
      </c>
      <c r="I2" t="s">
        <v>553</v>
      </c>
      <c r="K2" s="14" t="s">
        <v>548</v>
      </c>
      <c r="L2" t="s">
        <v>553</v>
      </c>
    </row>
    <row r="3" spans="2:12" x14ac:dyDescent="0.25">
      <c r="B3" s="15" t="s">
        <v>549</v>
      </c>
      <c r="C3" s="18">
        <v>14785.1</v>
      </c>
      <c r="D3" s="18"/>
      <c r="E3" s="15" t="s">
        <v>549</v>
      </c>
      <c r="F3" s="27"/>
      <c r="H3" s="17" t="s">
        <v>26</v>
      </c>
      <c r="I3" s="19">
        <v>33</v>
      </c>
      <c r="K3" s="17" t="s">
        <v>30</v>
      </c>
      <c r="L3" s="19">
        <v>22</v>
      </c>
    </row>
    <row r="4" spans="2:12" x14ac:dyDescent="0.25">
      <c r="B4" s="15" t="s">
        <v>557</v>
      </c>
      <c r="C4" s="18">
        <v>5813.2400000000007</v>
      </c>
      <c r="D4" s="18"/>
      <c r="E4" s="15" t="s">
        <v>557</v>
      </c>
      <c r="F4" s="29">
        <v>-0.6068176745507301</v>
      </c>
      <c r="H4" s="17" t="s">
        <v>22</v>
      </c>
      <c r="I4" s="19">
        <v>15</v>
      </c>
      <c r="K4" s="17" t="s">
        <v>17</v>
      </c>
      <c r="L4" s="19">
        <v>14</v>
      </c>
    </row>
    <row r="5" spans="2:12" x14ac:dyDescent="0.25">
      <c r="B5" s="15" t="s">
        <v>550</v>
      </c>
      <c r="C5" s="18">
        <v>5219.2999999999993</v>
      </c>
      <c r="D5" s="18"/>
      <c r="E5" s="15" t="s">
        <v>550</v>
      </c>
      <c r="F5" s="29">
        <v>-0.1021702183291936</v>
      </c>
      <c r="H5" s="17" t="s">
        <v>55</v>
      </c>
      <c r="I5" s="19">
        <v>4</v>
      </c>
      <c r="K5" s="17" t="s">
        <v>38</v>
      </c>
      <c r="L5" s="19">
        <v>10</v>
      </c>
    </row>
    <row r="6" spans="2:12" x14ac:dyDescent="0.25">
      <c r="B6" s="15" t="s">
        <v>558</v>
      </c>
      <c r="C6" s="18">
        <v>8457.3799999999992</v>
      </c>
      <c r="D6" s="18"/>
      <c r="E6" s="15" t="s">
        <v>558</v>
      </c>
      <c r="F6" s="29">
        <v>0.62040503515797141</v>
      </c>
      <c r="H6" s="17" t="s">
        <v>31</v>
      </c>
      <c r="I6" s="19">
        <v>3</v>
      </c>
      <c r="K6" s="17" t="s">
        <v>11</v>
      </c>
      <c r="L6" s="19">
        <v>9</v>
      </c>
    </row>
    <row r="7" spans="2:12" x14ac:dyDescent="0.25">
      <c r="B7" s="15" t="s">
        <v>559</v>
      </c>
      <c r="C7" s="18">
        <v>13568.95</v>
      </c>
      <c r="D7" s="18"/>
      <c r="E7" s="15" t="s">
        <v>559</v>
      </c>
      <c r="F7" s="29">
        <v>0.60439166739581307</v>
      </c>
      <c r="H7" s="17" t="s">
        <v>552</v>
      </c>
      <c r="I7" s="19">
        <v>55</v>
      </c>
      <c r="K7" s="17" t="s">
        <v>552</v>
      </c>
      <c r="L7" s="19">
        <v>55</v>
      </c>
    </row>
    <row r="8" spans="2:12" x14ac:dyDescent="0.25">
      <c r="B8" s="15" t="s">
        <v>551</v>
      </c>
      <c r="C8" s="18">
        <v>13788.93</v>
      </c>
      <c r="D8" s="18"/>
      <c r="E8" s="15" t="s">
        <v>551</v>
      </c>
      <c r="F8" s="29">
        <v>1.6212013457194519E-2</v>
      </c>
    </row>
    <row r="9" spans="2:12" x14ac:dyDescent="0.25">
      <c r="B9" s="15" t="s">
        <v>560</v>
      </c>
      <c r="C9" s="18">
        <v>6326.8099999999995</v>
      </c>
      <c r="D9" s="18"/>
      <c r="E9" s="15" t="s">
        <v>560</v>
      </c>
      <c r="F9" s="29">
        <v>-0.54116744373928949</v>
      </c>
    </row>
    <row r="10" spans="2:12" x14ac:dyDescent="0.25">
      <c r="B10" s="15" t="s">
        <v>554</v>
      </c>
      <c r="C10" s="18">
        <v>4311.54</v>
      </c>
      <c r="D10" s="18"/>
      <c r="E10" s="15" t="s">
        <v>554</v>
      </c>
      <c r="F10" s="29">
        <v>-0.31852861078489786</v>
      </c>
    </row>
    <row r="11" spans="2:12" x14ac:dyDescent="0.25">
      <c r="B11" s="15" t="s">
        <v>561</v>
      </c>
      <c r="C11" s="18">
        <v>9454.9599999999991</v>
      </c>
      <c r="D11" s="18"/>
      <c r="E11" s="15" t="s">
        <v>561</v>
      </c>
      <c r="F11" s="29">
        <v>1.1929426608589968</v>
      </c>
    </row>
    <row r="12" spans="2:12" x14ac:dyDescent="0.25">
      <c r="B12" s="15" t="s">
        <v>555</v>
      </c>
      <c r="C12" s="18">
        <v>8634.0399999999991</v>
      </c>
      <c r="D12" s="18"/>
      <c r="E12" s="15" t="s">
        <v>555</v>
      </c>
      <c r="F12" s="29">
        <v>-8.6824270012776372E-2</v>
      </c>
    </row>
    <row r="13" spans="2:12" x14ac:dyDescent="0.25">
      <c r="B13" s="15" t="s">
        <v>562</v>
      </c>
      <c r="C13" s="18">
        <v>14401.66</v>
      </c>
      <c r="D13" s="18"/>
      <c r="E13" s="15" t="s">
        <v>562</v>
      </c>
      <c r="F13" s="29">
        <v>0.66800941390125612</v>
      </c>
    </row>
    <row r="14" spans="2:12" x14ac:dyDescent="0.25">
      <c r="B14" s="15" t="s">
        <v>556</v>
      </c>
      <c r="C14" s="18">
        <v>6481.8200000000006</v>
      </c>
      <c r="D14" s="18"/>
      <c r="E14" s="15" t="s">
        <v>556</v>
      </c>
      <c r="F14" s="29">
        <v>-0.54992549469991647</v>
      </c>
    </row>
    <row r="15" spans="2:12" x14ac:dyDescent="0.25">
      <c r="B15" s="15" t="s">
        <v>552</v>
      </c>
      <c r="C15" s="18">
        <v>111243.73</v>
      </c>
      <c r="D15" s="18"/>
      <c r="E15" s="15" t="s">
        <v>552</v>
      </c>
      <c r="F15" s="27"/>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1" id="{7E9E5BEF-C0EB-41E3-BD11-2895DC468239}">
            <x14:iconSet iconSet="3Arrows" custom="1">
              <x14:cfvo type="percent">
                <xm:f>0</xm:f>
              </x14:cfvo>
              <x14:cfvo type="percent">
                <xm:f>0</xm:f>
              </x14:cfvo>
              <x14:cfvo type="percent">
                <xm:f>0</xm:f>
              </x14:cfvo>
              <x14:cfIcon iconSet="3Arrows" iconId="0"/>
              <x14:cfIcon iconSet="3Arrows" iconId="2"/>
              <x14:cfIcon iconSet="3Arrows" iconId="2"/>
            </x14:iconSet>
          </x14:cfRule>
          <xm:sqref>F3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7"/>
  <sheetViews>
    <sheetView workbookViewId="0">
      <selection activeCell="D23" sqref="D23"/>
    </sheetView>
  </sheetViews>
  <sheetFormatPr defaultRowHeight="15" x14ac:dyDescent="0.25"/>
  <cols>
    <col min="2" max="2" width="13.140625" bestFit="1" customWidth="1"/>
    <col min="3" max="3" width="20.42578125" bestFit="1" customWidth="1"/>
    <col min="5" max="5" width="13.140625" bestFit="1" customWidth="1"/>
    <col min="6" max="6" width="20.42578125" bestFit="1" customWidth="1"/>
  </cols>
  <sheetData>
    <row r="2" spans="2:6" x14ac:dyDescent="0.25">
      <c r="B2" s="14" t="s">
        <v>548</v>
      </c>
      <c r="C2" t="s">
        <v>547</v>
      </c>
      <c r="E2" s="14" t="s">
        <v>548</v>
      </c>
      <c r="F2" t="s">
        <v>547</v>
      </c>
    </row>
    <row r="3" spans="2:6" x14ac:dyDescent="0.25">
      <c r="B3" s="17" t="s">
        <v>20</v>
      </c>
      <c r="C3" s="30">
        <v>0.17517866380549116</v>
      </c>
      <c r="E3" s="17" t="s">
        <v>30</v>
      </c>
      <c r="F3" s="30">
        <v>0.35233652022301837</v>
      </c>
    </row>
    <row r="4" spans="2:6" x14ac:dyDescent="0.25">
      <c r="B4" s="17" t="s">
        <v>15</v>
      </c>
      <c r="C4" s="30">
        <v>0.28911923054815786</v>
      </c>
      <c r="E4" s="17" t="s">
        <v>38</v>
      </c>
      <c r="F4" s="30">
        <v>0.2891192305481578</v>
      </c>
    </row>
    <row r="5" spans="2:6" x14ac:dyDescent="0.25">
      <c r="B5" s="17" t="s">
        <v>36</v>
      </c>
      <c r="C5" s="30">
        <v>0.53570210564635112</v>
      </c>
      <c r="E5" s="17" t="s">
        <v>17</v>
      </c>
      <c r="F5" s="30">
        <v>0.18336558542333262</v>
      </c>
    </row>
    <row r="6" spans="2:6" x14ac:dyDescent="0.25">
      <c r="B6" s="17" t="s">
        <v>552</v>
      </c>
      <c r="C6" s="30">
        <v>1</v>
      </c>
      <c r="E6" s="17" t="s">
        <v>11</v>
      </c>
      <c r="F6" s="30">
        <v>0.17517866380549113</v>
      </c>
    </row>
    <row r="7" spans="2:6" x14ac:dyDescent="0.25">
      <c r="E7" s="17" t="s">
        <v>552</v>
      </c>
      <c r="F7" s="3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EDA_Dataset</vt:lpstr>
      <vt:lpstr>Pivot_KPI_Monthly_Growth_Table</vt:lpstr>
      <vt:lpstr>Pivot_Top_Chart_Tables</vt:lpstr>
      <vt:lpstr>Pivot_Chart_Tables</vt:lpstr>
      <vt:lpstr>Pivot_Contribution_Tabels</vt:lpstr>
      <vt:lpstr>DASHBOARD!Print_Area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2026-06-02T12:32:36Z</cp:lastPrinted>
  <dcterms:created xsi:type="dcterms:W3CDTF">2026-05-31T13:15:52Z</dcterms:created>
  <dcterms:modified xsi:type="dcterms:W3CDTF">2026-06-02T12:34:03Z</dcterms:modified>
</cp:coreProperties>
</file>