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defaultThemeVersion="124226"/>
  <bookViews>
    <workbookView xWindow="240" yWindow="30" windowWidth="20115" windowHeight="7755" firstSheet="1" activeTab="1"/>
  </bookViews>
  <sheets>
    <sheet name="EDA_Dataset" sheetId="3" r:id="rId1"/>
    <sheet name="DASHBOARD" sheetId="5" r:id="rId2"/>
    <sheet name="Pivot_KPI_Monthly_Growth_Table" sheetId="11" r:id="rId3"/>
    <sheet name="Pivot_Heatmap" sheetId="15" r:id="rId4"/>
    <sheet name="Pivot_Top_Chart_Tables" sheetId="10" r:id="rId5"/>
    <sheet name="Pivot_Contribution_Tabels" sheetId="12" r:id="rId6"/>
    <sheet name="Pivot_Chart_Tables" sheetId="13" r:id="rId7"/>
  </sheets>
  <definedNames>
    <definedName name="_xlnm.Print_Area" localSheetId="1">DASHBOARD!$A$1:$X$52</definedName>
    <definedName name="Slicer_Brand">#N/A</definedName>
    <definedName name="Slicer_Country">#N/A</definedName>
    <definedName name="Slicer_Date">#N/A</definedName>
    <definedName name="Slicer_Sales_Channel">#N/A</definedName>
  </definedNames>
  <calcPr calcId="144525"/>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3" i="15" l="1"/>
  <c r="L13" i="15"/>
  <c r="M13" i="15"/>
  <c r="N13" i="15"/>
  <c r="O13" i="15"/>
  <c r="P13" i="15"/>
  <c r="K14" i="15"/>
  <c r="L14" i="15"/>
  <c r="M14" i="15"/>
  <c r="N14" i="15"/>
  <c r="O14" i="15"/>
  <c r="P14" i="15"/>
  <c r="K15" i="15"/>
  <c r="L15" i="15"/>
  <c r="M15" i="15"/>
  <c r="N15" i="15"/>
  <c r="O15" i="15"/>
  <c r="P15" i="15"/>
  <c r="K16" i="15"/>
  <c r="L16" i="15"/>
  <c r="M16" i="15"/>
  <c r="N16" i="15"/>
  <c r="O16" i="15"/>
  <c r="P16" i="15"/>
  <c r="K17" i="15"/>
  <c r="L17" i="15"/>
  <c r="M17" i="15"/>
  <c r="N17" i="15"/>
  <c r="O17" i="15"/>
  <c r="P17" i="15"/>
  <c r="P12" i="15"/>
  <c r="O12" i="15"/>
  <c r="N12" i="15"/>
  <c r="M12" i="15"/>
  <c r="L12" i="15"/>
  <c r="K12" i="15"/>
  <c r="D14" i="15"/>
  <c r="B13" i="15"/>
  <c r="C13" i="15"/>
  <c r="D13" i="15"/>
  <c r="E13" i="15"/>
  <c r="F13" i="15"/>
  <c r="G13" i="15"/>
  <c r="B14" i="15"/>
  <c r="C14" i="15"/>
  <c r="E14" i="15"/>
  <c r="F14" i="15"/>
  <c r="G14" i="15"/>
  <c r="B15" i="15"/>
  <c r="C15" i="15"/>
  <c r="D15" i="15"/>
  <c r="E15" i="15"/>
  <c r="F15" i="15"/>
  <c r="G15" i="15"/>
  <c r="B16" i="15"/>
  <c r="C16" i="15"/>
  <c r="D16" i="15"/>
  <c r="E16" i="15"/>
  <c r="F16" i="15"/>
  <c r="G16" i="15"/>
  <c r="B17" i="15"/>
  <c r="C17" i="15"/>
  <c r="D17" i="15"/>
  <c r="E17" i="15"/>
  <c r="F17" i="15"/>
  <c r="G17" i="15"/>
  <c r="G12" i="15"/>
  <c r="F12" i="15"/>
  <c r="E12" i="15"/>
  <c r="D12" i="15"/>
  <c r="C12" i="15"/>
  <c r="B12" i="15"/>
  <c r="E41" i="5"/>
  <c r="F41" i="5"/>
  <c r="G41" i="5"/>
  <c r="H41" i="5"/>
  <c r="I41" i="5"/>
  <c r="D41" i="5"/>
  <c r="C43" i="5"/>
  <c r="C44" i="5"/>
  <c r="C45" i="5"/>
  <c r="C46" i="5"/>
  <c r="C47" i="5"/>
  <c r="C42" i="5"/>
  <c r="M4" i="3"/>
  <c r="M3" i="3"/>
  <c r="Q12" i="15" l="1"/>
  <c r="K42" i="5" s="1"/>
  <c r="Q16" i="15"/>
  <c r="Q14" i="15"/>
  <c r="Q17" i="15"/>
  <c r="Q15" i="15"/>
  <c r="Q13" i="15"/>
  <c r="G42" i="5"/>
  <c r="D42" i="5"/>
  <c r="F42" i="5"/>
  <c r="I42" i="5"/>
  <c r="E42" i="5"/>
  <c r="H42" i="5"/>
  <c r="D32" i="5"/>
  <c r="D33" i="5"/>
  <c r="D43" i="5"/>
  <c r="D31" i="5"/>
  <c r="E31" i="5" l="1"/>
  <c r="F31" i="5"/>
  <c r="G31" i="5"/>
  <c r="D44" i="5"/>
  <c r="C36" i="5"/>
  <c r="C32" i="5"/>
  <c r="C33" i="5"/>
  <c r="C34" i="5"/>
  <c r="C35" i="5"/>
  <c r="C31" i="5"/>
  <c r="E30" i="5"/>
  <c r="F30" i="5"/>
  <c r="G30" i="5"/>
  <c r="H30" i="5"/>
  <c r="I30" i="5"/>
  <c r="D30" i="5"/>
  <c r="E43" i="5" l="1"/>
  <c r="E32" i="5"/>
  <c r="D34" i="5"/>
  <c r="H31" i="5"/>
  <c r="D45" i="5"/>
  <c r="D5" i="11"/>
  <c r="D6" i="11"/>
  <c r="D7" i="11"/>
  <c r="D8" i="11"/>
  <c r="D9" i="11"/>
  <c r="D10" i="11"/>
  <c r="D11" i="11"/>
  <c r="D12" i="11"/>
  <c r="D20" i="11" s="1"/>
  <c r="D13" i="11"/>
  <c r="D14" i="11"/>
  <c r="D15" i="11"/>
  <c r="E44" i="5" l="1"/>
  <c r="F43" i="5"/>
  <c r="E33" i="5"/>
  <c r="F32" i="5"/>
  <c r="E34" i="5"/>
  <c r="D35" i="5"/>
  <c r="I31" i="5"/>
  <c r="H12" i="15"/>
  <c r="D46" i="5"/>
  <c r="E20" i="11"/>
  <c r="R3" i="5" s="1"/>
  <c r="O4" i="3"/>
  <c r="O5" i="3"/>
  <c r="O6" i="3"/>
  <c r="O7" i="3"/>
  <c r="O8" i="3"/>
  <c r="O9" i="3"/>
  <c r="O10" i="3"/>
  <c r="O11" i="3"/>
  <c r="O12" i="3"/>
  <c r="O3" i="3"/>
  <c r="N4" i="3"/>
  <c r="N5" i="3"/>
  <c r="N6" i="3"/>
  <c r="N7" i="3"/>
  <c r="N8" i="3"/>
  <c r="N9" i="3"/>
  <c r="N10" i="3"/>
  <c r="N11" i="3"/>
  <c r="N12" i="3"/>
  <c r="N3" i="3"/>
  <c r="M5" i="3"/>
  <c r="M6" i="3"/>
  <c r="M7" i="3"/>
  <c r="M8" i="3"/>
  <c r="M9" i="3"/>
  <c r="M10" i="3"/>
  <c r="M11" i="3"/>
  <c r="M12" i="3"/>
  <c r="F33" i="5" l="1"/>
  <c r="E45" i="5"/>
  <c r="G43" i="5"/>
  <c r="F44" i="5"/>
  <c r="G32" i="5"/>
  <c r="D36" i="5"/>
  <c r="E35" i="5"/>
  <c r="F34" i="5"/>
  <c r="D47" i="5"/>
  <c r="G33" i="5" l="1"/>
  <c r="H33" i="5"/>
  <c r="G44" i="5"/>
  <c r="F45" i="5"/>
  <c r="E46" i="5"/>
  <c r="H43" i="5"/>
  <c r="G34" i="5"/>
  <c r="I32" i="5"/>
  <c r="H32" i="5"/>
  <c r="F35" i="5"/>
  <c r="E36" i="5"/>
  <c r="F46" i="5" l="1"/>
  <c r="E47" i="5"/>
  <c r="K43" i="5"/>
  <c r="I43" i="5"/>
  <c r="G45" i="5"/>
  <c r="H44" i="5"/>
  <c r="H34" i="5"/>
  <c r="H13" i="15"/>
  <c r="I33" i="5"/>
  <c r="F36" i="5"/>
  <c r="K44" i="5" l="1"/>
  <c r="I44" i="5"/>
  <c r="G46" i="5"/>
  <c r="H45" i="5"/>
  <c r="F47" i="5"/>
  <c r="H35" i="5"/>
  <c r="G35" i="5"/>
  <c r="H14" i="15"/>
  <c r="K45" i="5" l="1"/>
  <c r="I45" i="5"/>
  <c r="H46" i="5"/>
  <c r="G47" i="5"/>
  <c r="H36" i="5"/>
  <c r="G36" i="5"/>
  <c r="H15" i="15"/>
  <c r="I34" i="5"/>
  <c r="K46" i="5" l="1"/>
  <c r="I36" i="5"/>
  <c r="I46" i="5"/>
  <c r="H47" i="5"/>
  <c r="H16" i="15"/>
  <c r="I35" i="5"/>
  <c r="H17" i="15" l="1"/>
  <c r="K47" i="5"/>
  <c r="I47" i="5"/>
</calcChain>
</file>

<file path=xl/sharedStrings.xml><?xml version="1.0" encoding="utf-8"?>
<sst xmlns="http://schemas.openxmlformats.org/spreadsheetml/2006/main" count="6240" uniqueCount="1075">
  <si>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</si>
  <si>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</si>
  <si>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</si>
  <si>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</si>
  <si>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</si>
  <si>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</si>
  <si>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</si>
  <si>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</si>
  <si>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</si>
  <si>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</si>
  <si>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</si>
  <si>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</si>
  <si>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</si>
  <si>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</si>
  <si>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</si>
  <si>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</si>
  <si>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</si>
  <si>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</si>
  <si>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</si>
  <si>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</si>
  <si>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</si>
  <si>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</si>
  <si>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</si>
  <si>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</si>
  <si>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</si>
  <si>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</si>
  <si>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</si>
  <si>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</si>
  <si>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</si>
  <si>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</si>
  <si>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</si>
  <si>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</si>
  <si>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</si>
  <si>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</si>
  <si>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</si>
  <si>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</si>
  <si>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</si>
  <si>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S7</t>
  </si>
  <si>
    <t>Reebok</t>
  </si>
  <si>
    <t>Saudi Arabia</t>
  </si>
  <si>
    <t>S8</t>
  </si>
  <si>
    <t>Red</t>
  </si>
  <si>
    <t>India</t>
  </si>
  <si>
    <t>S9</t>
  </si>
  <si>
    <t>S10</t>
  </si>
  <si>
    <t>Black</t>
  </si>
  <si>
    <t>S11</t>
  </si>
  <si>
    <t>S12</t>
  </si>
  <si>
    <t>S13</t>
  </si>
  <si>
    <t>S14</t>
  </si>
  <si>
    <t>S15</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</si>
  <si>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</si>
  <si>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</si>
  <si>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</si>
  <si>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</si>
  <si>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</si>
  <si>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</si>
  <si>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</si>
  <si>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</si>
  <si>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</si>
  <si>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</si>
  <si>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</si>
  <si>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</si>
  <si>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</si>
  <si>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</si>
  <si>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</si>
  <si>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</si>
  <si>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</si>
  <si>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</si>
  <si>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</si>
  <si>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</si>
  <si>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</si>
  <si>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</si>
  <si>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</si>
  <si>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</si>
  <si>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</si>
  <si>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</si>
  <si>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</si>
  <si>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</si>
  <si>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</si>
  <si>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</si>
  <si>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</si>
  <si>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</si>
  <si>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</si>
  <si>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</si>
  <si>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</si>
  <si>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</si>
  <si>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</si>
  <si>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</si>
  <si>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</si>
  <si>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</si>
  <si>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</si>
  <si>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</si>
  <si>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</si>
  <si>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</si>
  <si>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</si>
  <si>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</si>
  <si>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</si>
  <si>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</si>
  <si>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</si>
  <si>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</si>
  <si>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</si>
  <si>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</si>
  <si>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</si>
  <si>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</si>
  <si>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</si>
  <si>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</si>
  <si>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</si>
  <si>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</si>
  <si>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</si>
  <si>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</si>
  <si>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</si>
  <si>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</si>
  <si>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</si>
  <si>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</si>
  <si>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</si>
  <si>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</si>
  <si>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</si>
  <si>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</si>
  <si>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</si>
  <si>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</si>
  <si>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</si>
  <si>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</si>
  <si>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</si>
  <si>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</si>
  <si>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</si>
  <si>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</si>
  <si>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</si>
  <si>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</si>
  <si>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</si>
  <si>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</si>
  <si>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</si>
  <si>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</si>
  <si>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</si>
  <si>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</si>
  <si>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</si>
  <si>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</si>
  <si>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</si>
  <si>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</si>
  <si>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</si>
  <si>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</si>
  <si>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</si>
  <si>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</si>
  <si>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</si>
  <si>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</si>
  <si>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</si>
  <si>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</si>
  <si>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</si>
  <si>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</si>
  <si>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</si>
  <si>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</si>
  <si>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</si>
  <si>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</si>
  <si>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</si>
  <si>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</si>
  <si>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</si>
  <si>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</si>
  <si>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</si>
  <si>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</si>
  <si>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</si>
  <si>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</si>
  <si>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</si>
  <si>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</si>
  <si>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</si>
  <si>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</si>
  <si>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</si>
  <si>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</si>
  <si>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</si>
  <si>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</si>
  <si>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</si>
  <si>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</si>
  <si>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</si>
  <si>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</si>
  <si>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</si>
  <si>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</si>
  <si>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</si>
  <si>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</si>
  <si>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</si>
  <si>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</si>
  <si>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</si>
  <si>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</si>
  <si>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</si>
  <si>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</si>
  <si>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</si>
  <si>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</si>
  <si>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</si>
  <si>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</si>
  <si>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</si>
  <si>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</si>
  <si>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</si>
  <si>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</si>
  <si>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</si>
  <si>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</si>
  <si>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</si>
  <si>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</si>
  <si>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</si>
  <si>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</si>
  <si>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</si>
  <si>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</si>
  <si>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</si>
  <si>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</si>
  <si>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</si>
  <si>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</si>
  <si>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</si>
  <si>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</si>
  <si>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</si>
  <si>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</si>
  <si>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</si>
  <si>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</si>
  <si>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</si>
  <si>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</si>
  <si>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</si>
  <si>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</si>
  <si>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</si>
  <si>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</si>
  <si>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</si>
  <si>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</si>
  <si>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</si>
  <si>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</si>
  <si>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</si>
  <si>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</si>
  <si>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</si>
  <si>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</si>
  <si>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</si>
  <si>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</si>
  <si>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</si>
  <si>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</si>
  <si>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</si>
  <si>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</si>
  <si>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</si>
  <si>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</si>
  <si>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</si>
  <si>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</si>
  <si>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</si>
  <si>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</si>
  <si>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</si>
  <si>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</si>
  <si>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</si>
  <si>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</si>
  <si>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</si>
  <si>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</si>
  <si>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</si>
  <si>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</si>
  <si>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</si>
  <si>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</si>
  <si>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</si>
  <si>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</si>
  <si>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</si>
  <si>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</si>
  <si>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</si>
  <si>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</si>
  <si>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</si>
  <si>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</si>
  <si>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</si>
  <si>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</si>
  <si>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</si>
  <si>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</si>
  <si>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</si>
  <si>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</si>
  <si>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</si>
  <si>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</si>
  <si>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</si>
  <si>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</si>
  <si>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</si>
  <si>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</si>
  <si>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</si>
  <si>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</si>
  <si>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</si>
  <si>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</si>
  <si>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</si>
  <si>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</si>
  <si>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</si>
  <si>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</si>
  <si>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</si>
  <si>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</si>
  <si>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</si>
  <si>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</si>
  <si>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</si>
  <si>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</si>
  <si>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</si>
  <si>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</si>
  <si>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</si>
  <si>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</si>
  <si>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</si>
  <si>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</si>
  <si>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</si>
  <si>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</si>
  <si>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</si>
  <si>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</si>
  <si>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</si>
  <si>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</si>
  <si>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</si>
  <si>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</si>
  <si>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</si>
  <si>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</si>
  <si>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</si>
  <si>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</si>
  <si>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</si>
  <si>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</si>
  <si>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</si>
  <si>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</si>
  <si>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</si>
  <si>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</si>
  <si>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</si>
  <si>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</si>
  <si>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</si>
  <si>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</si>
  <si>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</si>
  <si>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</si>
  <si>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</si>
  <si>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</si>
  <si>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</si>
  <si>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</si>
  <si>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</si>
  <si>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</si>
  <si>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</si>
  <si>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</si>
  <si>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</si>
  <si>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</si>
  <si>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</si>
  <si>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</si>
  <si>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</si>
  <si>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</si>
  <si>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</si>
  <si>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</si>
  <si>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</si>
  <si>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</si>
  <si>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</si>
  <si>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</si>
  <si>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</si>
  <si>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</si>
  <si>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</si>
  <si>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</si>
  <si>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</si>
  <si>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</si>
  <si>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</si>
  <si>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</si>
  <si>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</si>
  <si>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</si>
  <si>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</si>
  <si>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</si>
  <si>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</si>
  <si>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</si>
  <si>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</si>
  <si>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</si>
  <si>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</si>
  <si>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</si>
  <si>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</si>
  <si>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</si>
  <si>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</si>
  <si>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</si>
  <si>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</si>
  <si>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</si>
  <si>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</si>
  <si>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</si>
  <si>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</si>
  <si>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</si>
  <si>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</si>
  <si>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</si>
  <si>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</si>
  <si>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</si>
  <si>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</si>
  <si>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</si>
  <si>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</si>
  <si>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</si>
  <si>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</si>
  <si>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</si>
  <si>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</si>
  <si>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</si>
  <si>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</si>
  <si>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</si>
  <si>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</si>
  <si>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</si>
  <si>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</si>
  <si>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</si>
  <si>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</si>
  <si>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</si>
  <si>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</si>
  <si>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</si>
  <si>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</si>
  <si>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</si>
  <si>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</si>
  <si>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</si>
  <si>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</si>
  <si>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</si>
  <si>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</si>
  <si>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</si>
  <si>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</si>
  <si>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</si>
  <si>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</si>
  <si>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</si>
  <si>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</si>
  <si>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</si>
  <si>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</si>
  <si>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</si>
  <si>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</si>
  <si>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</si>
  <si>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</si>
  <si>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</si>
  <si>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</si>
  <si>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</si>
  <si>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</si>
  <si>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</si>
  <si>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</si>
  <si>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</si>
  <si>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</si>
  <si>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</si>
  <si>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</si>
  <si>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</si>
  <si>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</si>
  <si>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</si>
  <si>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</si>
  <si>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</si>
  <si>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</si>
  <si>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</si>
  <si>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</si>
  <si>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</si>
  <si>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</si>
  <si>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</si>
  <si>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</si>
  <si>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</si>
  <si>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</si>
  <si>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</si>
  <si>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</si>
  <si>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</si>
  <si>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</si>
  <si>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</si>
  <si>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</si>
  <si>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</si>
  <si>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</si>
  <si>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</si>
  <si>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</si>
  <si>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</si>
  <si>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</si>
  <si>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</si>
  <si>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</si>
  <si>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</si>
  <si>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</si>
  <si>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</si>
  <si>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</si>
  <si>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</si>
  <si>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</si>
  <si>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</si>
  <si>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</si>
  <si>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</si>
  <si>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</si>
  <si>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</si>
  <si>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</si>
  <si>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</si>
  <si>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</si>
  <si>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</si>
  <si>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</si>
  <si>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</si>
  <si>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</si>
  <si>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</si>
  <si>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</si>
  <si>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</si>
  <si>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</si>
  <si>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</si>
  <si>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</si>
  <si>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</si>
  <si>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</si>
  <si>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</si>
  <si>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</si>
  <si>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</si>
  <si>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</si>
  <si>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</si>
  <si>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</si>
  <si>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</si>
  <si>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</si>
  <si>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</si>
  <si>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</si>
  <si>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</si>
  <si>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</si>
  <si>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</si>
  <si>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</si>
  <si>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</si>
  <si>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</si>
  <si>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</si>
  <si>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</si>
  <si>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</si>
  <si>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</si>
  <si>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</si>
  <si>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</si>
  <si>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</si>
  <si>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</si>
  <si>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</si>
  <si>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</si>
  <si>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</si>
  <si>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</si>
  <si>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</si>
  <si>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</si>
  <si>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</si>
  <si>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</si>
  <si>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</si>
  <si>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</si>
  <si>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</si>
  <si>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</si>
  <si>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</si>
  <si>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</si>
  <si>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</si>
  <si>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</si>
  <si>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</si>
  <si>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</si>
  <si>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</si>
  <si>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</si>
  <si>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</si>
  <si>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</si>
  <si>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</si>
  <si>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</si>
  <si>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</si>
  <si>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</si>
  <si>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</si>
  <si>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</si>
  <si>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</si>
  <si>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</si>
  <si>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</si>
  <si>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</si>
  <si>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</si>
  <si>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</si>
  <si>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</si>
  <si>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</si>
  <si>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</si>
  <si>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</si>
  <si>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</si>
  <si>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</si>
  <si>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</si>
  <si>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</si>
  <si>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</si>
  <si>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</si>
  <si>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</si>
  <si>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</si>
  <si>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</si>
  <si>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</si>
  <si>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</si>
  <si>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</si>
  <si>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</si>
  <si>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Column Name</t>
  </si>
  <si>
    <t>Number of Data</t>
  </si>
  <si>
    <t>Missing Values</t>
  </si>
  <si>
    <t>Duplicate Data</t>
  </si>
  <si>
    <t>Use of Conditional Formatting: to identify duplicate data. In this dataset, the Sale_ID column should contain unique values. The results showed that no duplicate data was detected in the Sale_ID.</t>
  </si>
  <si>
    <t>Type of Data</t>
  </si>
  <si>
    <t>Total Revenue</t>
  </si>
  <si>
    <t>AVG Revenue</t>
  </si>
  <si>
    <t>Total Transaction</t>
  </si>
  <si>
    <t>Total Sold (Pcs)</t>
  </si>
  <si>
    <t>Sum of Revenue_USD</t>
  </si>
  <si>
    <t>Row Labels</t>
  </si>
  <si>
    <t>Jan</t>
  </si>
  <si>
    <t>Mar</t>
  </si>
  <si>
    <t>Jun</t>
  </si>
  <si>
    <t>Grand Total</t>
  </si>
  <si>
    <t>Sum of Units_Sold</t>
  </si>
  <si>
    <t>Agu</t>
  </si>
  <si>
    <t>Okt</t>
  </si>
  <si>
    <t>Des</t>
  </si>
  <si>
    <t>Feb</t>
  </si>
  <si>
    <t>Apr</t>
  </si>
  <si>
    <t>Mei</t>
  </si>
  <si>
    <t>Jul</t>
  </si>
  <si>
    <t>Sep</t>
  </si>
  <si>
    <t>Nov</t>
  </si>
  <si>
    <t>Pivot Revenue</t>
  </si>
  <si>
    <t>Pivot Dashboard</t>
  </si>
  <si>
    <t>MoM(%)</t>
  </si>
  <si>
    <t>Monthly Growth</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</si>
  <si>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</si>
  <si>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</si>
  <si>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</si>
  <si>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</si>
  <si>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</si>
  <si>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</si>
  <si>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</si>
  <si>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</si>
  <si>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</si>
  <si>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</si>
  <si>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</si>
  <si>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</si>
  <si>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</si>
  <si>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</si>
  <si>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</si>
  <si>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</si>
  <si>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</si>
  <si>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</si>
  <si>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</si>
  <si>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</si>
  <si>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</si>
  <si>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</si>
  <si>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</si>
  <si>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</si>
  <si>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</si>
  <si>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</si>
  <si>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</si>
  <si>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</si>
  <si>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</si>
  <si>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</si>
  <si>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</si>
  <si>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</si>
  <si>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</si>
  <si>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</si>
  <si>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</si>
  <si>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</si>
  <si>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</si>
  <si>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</si>
  <si>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</si>
  <si>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</si>
  <si>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</si>
  <si>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</si>
  <si>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</si>
  <si>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</si>
  <si>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</si>
  <si>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</si>
  <si>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</si>
  <si>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</si>
  <si>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</si>
  <si>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</si>
  <si>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</si>
  <si>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</si>
  <si>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</si>
  <si>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</si>
  <si>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</si>
  <si>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</si>
  <si>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</si>
  <si>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</si>
  <si>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</si>
  <si>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</si>
  <si>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</si>
  <si>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</si>
  <si>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</si>
  <si>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</si>
  <si>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</si>
  <si>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</si>
  <si>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</si>
  <si>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</si>
  <si>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</si>
  <si>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</si>
  <si>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</si>
  <si>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</si>
  <si>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</si>
  <si>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</si>
  <si>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</si>
  <si>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</si>
  <si>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</si>
  <si>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</si>
  <si>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</si>
  <si>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</si>
  <si>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</si>
  <si>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</si>
  <si>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</si>
  <si>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</si>
  <si>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</si>
  <si>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</si>
  <si>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</si>
  <si>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</si>
  <si>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</si>
  <si>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</si>
  <si>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</si>
  <si>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</si>
  <si>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</si>
  <si>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</si>
  <si>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</si>
  <si>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</si>
  <si>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</si>
  <si>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</si>
  <si>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</si>
  <si>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</si>
  <si>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</si>
  <si>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</si>
  <si>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</si>
  <si>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</si>
  <si>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</si>
  <si>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</si>
  <si>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</si>
  <si>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</si>
  <si>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</si>
  <si>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</si>
  <si>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</si>
  <si>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</si>
  <si>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</si>
  <si>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</si>
  <si>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</si>
  <si>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</si>
  <si>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</si>
  <si>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</si>
  <si>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</si>
  <si>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</si>
  <si>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</si>
  <si>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</si>
  <si>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</si>
  <si>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</si>
  <si>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</si>
  <si>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</si>
  <si>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</si>
  <si>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</si>
  <si>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</si>
  <si>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</si>
  <si>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</si>
  <si>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</si>
  <si>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</si>
  <si>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</si>
  <si>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</si>
  <si>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</si>
  <si>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</si>
  <si>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</si>
  <si>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</si>
  <si>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</si>
  <si>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</si>
  <si>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</si>
  <si>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</si>
  <si>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</si>
  <si>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</si>
  <si>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</si>
  <si>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</si>
  <si>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</si>
  <si>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</si>
  <si>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</si>
  <si>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</si>
  <si>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</si>
  <si>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</si>
  <si>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</si>
  <si>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</si>
  <si>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</si>
  <si>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</si>
  <si>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</si>
  <si>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</si>
  <si>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</si>
  <si>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</si>
  <si>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</si>
  <si>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</si>
  <si>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</si>
  <si>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</si>
  <si>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</si>
  <si>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</si>
  <si>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</si>
  <si>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</si>
  <si>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</si>
  <si>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</si>
  <si>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</si>
  <si>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</si>
  <si>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</si>
  <si>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</si>
  <si>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</si>
  <si>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</si>
  <si>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</si>
  <si>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</si>
  <si>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</si>
  <si>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</si>
  <si>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</si>
  <si>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</si>
  <si>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</si>
  <si>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</si>
  <si>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</si>
  <si>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</si>
  <si>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</si>
  <si>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</si>
  <si>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</si>
  <si>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</si>
  <si>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</si>
  <si>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</si>
  <si>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</si>
  <si>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</si>
  <si>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</si>
  <si>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</si>
  <si>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</si>
  <si>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</si>
  <si>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</si>
  <si>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</si>
  <si>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</si>
  <si>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</si>
  <si>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</si>
  <si>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</si>
  <si>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</si>
  <si>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</si>
  <si>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</si>
  <si>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</si>
  <si>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</si>
  <si>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</si>
  <si>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</si>
  <si>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</si>
  <si>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</si>
  <si>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</si>
  <si>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</si>
  <si>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</si>
  <si>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</si>
  <si>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</si>
  <si>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</si>
  <si>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</si>
  <si>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</si>
  <si>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</si>
  <si>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</si>
  <si>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</si>
  <si>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</si>
  <si>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</si>
  <si>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</si>
  <si>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</si>
  <si>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</si>
  <si>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</si>
  <si>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</si>
  <si>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</si>
  <si>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</si>
  <si>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</si>
  <si>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</si>
  <si>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</si>
  <si>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</si>
  <si>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</si>
  <si>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</si>
  <si>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</si>
  <si>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</si>
  <si>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</si>
  <si>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</si>
  <si>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</si>
  <si>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</si>
  <si>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</si>
  <si>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</si>
  <si>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</si>
  <si>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</si>
  <si>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</si>
  <si>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</si>
  <si>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</si>
  <si>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</si>
  <si>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</si>
  <si>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</si>
  <si>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</si>
  <si>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</si>
  <si>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</si>
  <si>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</si>
  <si>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</si>
  <si>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</si>
  <si>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</si>
  <si>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</si>
  <si>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</si>
  <si>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</si>
  <si>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</si>
  <si>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</si>
  <si>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</si>
  <si>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</si>
  <si>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</si>
  <si>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</si>
  <si>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</si>
  <si>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</si>
  <si>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</si>
  <si>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</si>
  <si>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</si>
  <si>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</si>
  <si>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</si>
  <si>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</si>
  <si>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</si>
  <si>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</si>
  <si>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</si>
  <si>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</si>
  <si>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</si>
  <si>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</si>
  <si>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</si>
  <si>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</si>
  <si>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</si>
  <si>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</si>
  <si>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</si>
  <si>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</si>
  <si>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</si>
  <si>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</si>
  <si>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</si>
  <si>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</si>
  <si>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</si>
  <si>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</si>
  <si>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</si>
  <si>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</si>
  <si>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</si>
  <si>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</si>
  <si>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</si>
  <si>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</si>
  <si>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</si>
  <si>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</si>
  <si>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</si>
  <si>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</si>
  <si>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</si>
  <si>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</si>
  <si>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</si>
  <si>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</si>
  <si>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</si>
  <si>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</si>
  <si>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</si>
  <si>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</si>
  <si>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</si>
  <si>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</si>
  <si>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</si>
  <si>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</si>
  <si>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</si>
  <si>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</si>
  <si>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</si>
  <si>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</si>
  <si>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</si>
  <si>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</si>
  <si>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</si>
  <si>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</si>
  <si>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</si>
  <si>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</si>
  <si>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</si>
  <si>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</si>
  <si>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</si>
  <si>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</si>
  <si>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</si>
  <si>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</si>
  <si>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</si>
  <si>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</si>
  <si>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</si>
  <si>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</si>
  <si>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</si>
  <si>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</si>
  <si>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</si>
  <si>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</si>
  <si>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</si>
  <si>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</si>
  <si>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</si>
  <si>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</si>
  <si>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</si>
  <si>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</si>
  <si>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</si>
  <si>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</si>
  <si>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</si>
  <si>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</si>
  <si>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</si>
  <si>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</si>
  <si>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</si>
  <si>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</si>
  <si>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</si>
  <si>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</si>
  <si>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</si>
  <si>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</si>
  <si>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</si>
  <si>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</si>
  <si>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</si>
  <si>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</si>
  <si>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</si>
  <si>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</si>
  <si>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</si>
  <si>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</si>
  <si>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</si>
  <si>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</si>
  <si>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</si>
  <si>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</si>
  <si>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</si>
  <si>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</si>
  <si>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</si>
  <si>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</si>
  <si>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</si>
  <si>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</si>
  <si>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</si>
  <si>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</si>
  <si>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</si>
  <si>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</si>
  <si>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</si>
  <si>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</si>
  <si>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</si>
  <si>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</si>
  <si>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</si>
  <si>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</si>
  <si>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</si>
  <si>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</si>
  <si>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</si>
  <si>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</si>
  <si>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</si>
  <si>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</si>
  <si>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</si>
  <si>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</si>
  <si>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</si>
  <si>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</si>
  <si>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</si>
  <si>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</si>
  <si>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</si>
  <si>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</si>
  <si>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</si>
  <si>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</si>
  <si>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</si>
  <si>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</si>
  <si>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</si>
  <si>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</si>
  <si>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</si>
  <si>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</si>
  <si>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</si>
  <si>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</si>
  <si>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</si>
  <si>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</si>
  <si>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</si>
  <si>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</si>
  <si>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</si>
  <si>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</si>
  <si>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</si>
  <si>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</si>
  <si>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</si>
  <si>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</si>
  <si>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</si>
  <si>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</si>
  <si>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</si>
  <si>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</si>
  <si>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</si>
  <si>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</si>
  <si>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</si>
  <si>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</si>
  <si>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</si>
  <si>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</si>
  <si>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</si>
  <si>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</si>
  <si>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</si>
  <si>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</si>
  <si>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</si>
  <si>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</si>
  <si>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</si>
  <si>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</si>
  <si>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</si>
  <si>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</si>
  <si>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</si>
  <si>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</si>
  <si>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</si>
  <si>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</si>
  <si>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</si>
  <si>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</si>
  <si>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</si>
  <si>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</si>
  <si>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</si>
  <si>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</si>
  <si>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</si>
  <si>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</si>
  <si>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</si>
  <si>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</si>
  <si>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</si>
  <si>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</si>
  <si>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</si>
  <si>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</si>
  <si>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</si>
  <si>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</si>
  <si>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</si>
  <si>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</si>
  <si>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</si>
  <si>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</si>
  <si>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</si>
  <si>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</si>
  <si>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</si>
  <si>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</si>
  <si>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</si>
  <si>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</si>
  <si>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</si>
  <si>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</si>
  <si>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</si>
  <si>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</si>
  <si>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</si>
  <si>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</si>
  <si>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</si>
  <si>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</si>
  <si>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</si>
  <si>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</si>
  <si>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</si>
  <si>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</si>
  <si>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</si>
  <si>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</si>
  <si>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</si>
  <si>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</si>
  <si>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</si>
  <si>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</si>
  <si>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</si>
  <si>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</si>
  <si>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</si>
  <si>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</si>
  <si>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</si>
  <si>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</si>
  <si>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</si>
  <si>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</si>
  <si>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</si>
  <si>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Type of Shoes</t>
  </si>
  <si>
    <t>Total Sold by Shoe Type and Color</t>
  </si>
  <si>
    <t>Total Sold by Brand and Shoe Type</t>
  </si>
  <si>
    <t>Count of Sale_ID</t>
  </si>
  <si>
    <t>Total</t>
  </si>
  <si>
    <t>Monthly Growth Revenue</t>
  </si>
  <si>
    <t>Monthly Revenue Trend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</si>
</sst>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409]\ \ * #,##0.00_ ;_-[$$-409]* \-#,##0.00\ ;_-[$$-409]* &quot;-&quot;??_ ;_-@_ "/>
    <numFmt numFmtId="165" formatCode="_-[$$-409]* #,##0.00_ ;_-[$$-409]* \-#,##0.00\ ;_-[$$-409]* &quot;-&quot;??_ ;_-@_ "/>
    <numFmt numFmtId="166" formatCode="[$-809]d\ mmmm\ yyyy;@"/>
    <numFmt numFmtId="167" formatCode="dd/mm/yyyy;@"/>
    <numFmt numFmtId="168" formatCode="[$$-409]#,\K"/>
    <numFmt numFmtId="169" formatCode="[$$-409]#.0,\K"/>
  </numFmts>
  <fonts count="34" x14ac:knownFonts="1">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1"/>
      <color theme="1"/>
      <name val="Calibri"/>
      <family val="2"/>
      <scheme val="minor"/>
    </font>
    <font>
      <b/>
      <sz val="11"/>
      <color theme="0"/>
      <name val="Calibri"/>
      <family val="2"/>
      <scheme val="minor"/>
    </font>
    <font>
      <sz val="12"/>
      <color theme="1"/>
      <name val="Calibri"/>
      <family val="2"/>
      <charset val="1"/>
      <scheme val="minor"/>
    </font>
    <font>
      <b/>
      <sz val="16"/>
      <color theme="0"/>
      <name val="Calibri"/>
      <family val="2"/>
      <charset val="1"/>
      <scheme val="minor"/>
    </font>
    <font>
      <sz val="11"/>
      <color theme="1" tint="4.9989318521683403E-2"/>
      <name val="Calibri"/>
      <family val="2"/>
      <charset val="1"/>
      <scheme val="minor"/>
    </font>
    <font>
      <b/>
      <sz val="11"/>
      <color theme="1" tint="4.9989318521683403E-2"/>
      <name val="Calibri"/>
      <family val="2"/>
      <charset val="1"/>
      <scheme val="minor"/>
    </font>
    <font>
      <b/>
      <sz val="20"/>
      <color theme="1"/>
      <name val="Calibri"/>
      <family val="2"/>
      <scheme val="minor"/>
    </font>
    <font>
      <b/>
      <sz val="16"/>
      <color theme="1"/>
      <name val="Calibri"/>
      <family val="2"/>
      <scheme val="minor"/>
    </font>
    <font>
      <b/>
      <sz val="18"/>
      <color theme="1"/>
      <name val="Calibri"/>
      <family val="2"/>
      <scheme val="minor"/>
    </font>
    <font>
      <b/>
      <sz val="16"/>
      <color theme="0"/>
      <name val="Calibri"/>
      <family val="2"/>
      <scheme val="minor"/>
    </font>
    <font>
      <b/>
      <sz val="14"/>
      <color theme="0" tint="-0.499984740745262"/>
      <name val="Calibri"/>
      <family val="2"/>
      <scheme val="minor"/>
    </font>
    <font>
      <b/>
      <sz val="18"/>
      <color theme="0"/>
      <name val="Calibri"/>
      <family val="2"/>
      <charset val="1"/>
      <scheme val="minor"/>
    </font>
    <font>
      <sz val="16"/>
      <color theme="2" tint="-0.89999084444715716"/>
      <name val="Calibri"/>
      <family val="2"/>
      <charset val="1"/>
      <scheme val="minor"/>
    </font>
    <font>
      <b/>
      <sz val="18"/>
      <color theme="0"/>
      <name val="Calibri"/>
      <family val="2"/>
      <scheme val="minor"/>
    </font>
    <font>
      <b/>
      <sz val="20"/>
      <color theme="0"/>
      <name val="Calibri"/>
      <family val="2"/>
      <scheme val="minor"/>
    </font>
    <font>
      <sz val="11"/>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4"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indexed="64"/>
      </right>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style="thin">
        <color theme="4"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91">
    <xf numFmtId="0" fontId="0" fillId="0" borderId="0" xfId="0"/>
    <xf numFmtId="14" fontId="0" fillId="0" borderId="0" xfId="0" applyNumberFormat="1"/>
    <xf numFmtId="2" fontId="0" fillId="0" borderId="0" xfId="0" applyNumberFormat="1"/>
    <xf numFmtId="0" fontId="18" fillId="33" borderId="0" xfId="0" applyFont="1" applyFill="1" applyBorder="1"/>
    <xf numFmtId="0" fontId="0" fillId="33" borderId="13" xfId="0" applyFill="1" applyBorder="1"/>
    <xf numFmtId="0" fontId="0" fillId="33" borderId="0" xfId="0" applyFill="1" applyBorder="1"/>
    <xf numFmtId="2" fontId="18" fillId="33" borderId="0" xfId="0" applyNumberFormat="1" applyFont="1" applyFill="1" applyBorder="1"/>
    <xf numFmtId="2" fontId="18" fillId="33" borderId="10" xfId="0" applyNumberFormat="1" applyFont="1" applyFill="1" applyBorder="1"/>
    <xf numFmtId="0" fontId="0" fillId="33" borderId="14" xfId="0" applyFill="1" applyBorder="1"/>
    <xf numFmtId="0" fontId="0" fillId="33" borderId="10" xfId="0" applyFill="1" applyBorder="1"/>
    <xf numFmtId="0" fontId="19" fillId="34" borderId="11" xfId="0" applyFont="1" applyFill="1" applyBorder="1" applyAlignment="1">
      <alignment horizontal="center"/>
    </xf>
    <xf numFmtId="0" fontId="19" fillId="34" borderId="12" xfId="0" applyFont="1" applyFill="1" applyBorder="1" applyAlignment="1">
      <alignment horizontal="center"/>
    </xf>
    <xf numFmtId="0" fontId="0" fillId="0" borderId="0" xfId="0" applyFill="1" applyAlignment="1"/>
    <xf numFmtId="0" fontId="0" fillId="0" borderId="0" xfId="0" applyFill="1"/>
    <xf numFmtId="0" fontId="0" fillId="0" borderId="0" xfId="0" pivotButton="1"/>
    <xf numFmtId="14" fontId="0" fillId="0" borderId="0" xfId="0" applyNumberFormat="1" applyAlignment="1">
      <alignment horizontal="left"/>
    </xf>
    <xf numFmtId="167" fontId="0" fillId="0" borderId="0" xfId="0" applyNumberFormat="1"/>
    <xf numFmtId="0" fontId="0" fillId="0" borderId="0" xfId="0" applyAlignment="1">
      <alignment horizontal="left"/>
    </xf>
    <xf numFmtId="168" fontId="0" fillId="0" borderId="0" xfId="0" applyNumberFormat="1"/>
    <xf numFmtId="1" fontId="0" fillId="0" borderId="0" xfId="0" applyNumberFormat="1"/>
    <xf numFmtId="0" fontId="0" fillId="0" borderId="0" xfId="0" applyFill="1" applyBorder="1" applyAlignment="1"/>
    <xf numFmtId="0" fontId="0" fillId="36" borderId="0" xfId="0" applyFill="1" applyBorder="1" applyAlignment="1"/>
    <xf numFmtId="0" fontId="0" fillId="36" borderId="0" xfId="0" applyFill="1" applyBorder="1"/>
    <xf numFmtId="0" fontId="0" fillId="36" borderId="0" xfId="0" applyNumberFormat="1" applyFill="1" applyBorder="1"/>
    <xf numFmtId="0" fontId="0" fillId="0" borderId="0" xfId="0" applyFill="1" applyBorder="1"/>
    <xf numFmtId="10" fontId="0" fillId="0" borderId="0" xfId="0" applyNumberFormat="1"/>
    <xf numFmtId="0" fontId="20" fillId="36" borderId="0" xfId="0" applyFont="1" applyFill="1" applyBorder="1" applyAlignment="1"/>
    <xf numFmtId="9" fontId="0" fillId="0" borderId="0" xfId="42" applyFont="1"/>
    <xf numFmtId="10" fontId="0" fillId="0" borderId="0" xfId="42" applyNumberFormat="1" applyFont="1"/>
    <xf numFmtId="9" fontId="0" fillId="0" borderId="0" xfId="42" applyNumberFormat="1" applyFont="1"/>
    <xf numFmtId="0" fontId="22" fillId="0" borderId="0" xfId="0" pivotButton="1" applyFont="1"/>
    <xf numFmtId="0" fontId="22" fillId="0" borderId="0" xfId="0" applyFont="1"/>
    <xf numFmtId="0" fontId="22" fillId="0" borderId="0" xfId="0" applyFont="1" applyFill="1" applyAlignment="1">
      <alignment horizontal="center" vertical="center"/>
    </xf>
    <xf numFmtId="0" fontId="22" fillId="0" borderId="0" xfId="0" applyFont="1" applyFill="1"/>
    <xf numFmtId="14" fontId="22" fillId="0" borderId="0" xfId="0" applyNumberFormat="1" applyFont="1" applyAlignment="1">
      <alignment horizontal="left"/>
    </xf>
    <xf numFmtId="168" fontId="22" fillId="0" borderId="0" xfId="0" applyNumberFormat="1" applyFont="1"/>
    <xf numFmtId="10" fontId="23" fillId="0" borderId="0" xfId="0" applyNumberFormat="1" applyFont="1"/>
    <xf numFmtId="0" fontId="22" fillId="0" borderId="0" xfId="0" applyFont="1" applyAlignment="1">
      <alignment horizontal="left"/>
    </xf>
    <xf numFmtId="1" fontId="22" fillId="0" borderId="0" xfId="0" applyNumberFormat="1" applyFont="1"/>
    <xf numFmtId="0" fontId="22" fillId="0" borderId="0" xfId="0" applyFont="1" applyFill="1" applyAlignment="1">
      <alignment horizontal="center"/>
    </xf>
    <xf numFmtId="10" fontId="22" fillId="0" borderId="0" xfId="0" applyNumberFormat="1" applyFont="1"/>
    <xf numFmtId="168" fontId="22" fillId="0" borderId="0" xfId="0" applyNumberFormat="1" applyFont="1" applyFill="1"/>
    <xf numFmtId="1" fontId="22" fillId="0" borderId="0" xfId="0" applyNumberFormat="1" applyFont="1" applyFill="1"/>
    <xf numFmtId="0" fontId="0" fillId="0" borderId="0" xfId="0" applyBorder="1"/>
    <xf numFmtId="169" fontId="0" fillId="0" borderId="0" xfId="0" applyNumberFormat="1" applyAlignment="1">
      <alignment horizontal="center"/>
    </xf>
    <xf numFmtId="0" fontId="0" fillId="36" borderId="16" xfId="0" applyFill="1" applyBorder="1"/>
    <xf numFmtId="0" fontId="0" fillId="36" borderId="25" xfId="0" applyFill="1" applyBorder="1"/>
    <xf numFmtId="0" fontId="0" fillId="36" borderId="20" xfId="0" applyFill="1" applyBorder="1" applyAlignment="1"/>
    <xf numFmtId="0" fontId="0" fillId="36" borderId="18" xfId="0" applyFill="1" applyBorder="1"/>
    <xf numFmtId="0" fontId="0" fillId="36" borderId="21" xfId="0" applyFill="1" applyBorder="1" applyAlignment="1"/>
    <xf numFmtId="0" fontId="0" fillId="36" borderId="22" xfId="0" applyFill="1" applyBorder="1"/>
    <xf numFmtId="0" fontId="0" fillId="36" borderId="23" xfId="0" applyFill="1" applyBorder="1"/>
    <xf numFmtId="0" fontId="0" fillId="36" borderId="16" xfId="0" applyFill="1" applyBorder="1" applyAlignment="1"/>
    <xf numFmtId="0" fontId="0" fillId="36" borderId="22" xfId="0" applyFill="1" applyBorder="1" applyAlignment="1"/>
    <xf numFmtId="0" fontId="24" fillId="36" borderId="0" xfId="0" applyFont="1" applyFill="1" applyBorder="1" applyAlignment="1">
      <alignment vertical="center"/>
    </xf>
    <xf numFmtId="10" fontId="31" fillId="35" borderId="0" xfId="42" applyNumberFormat="1" applyFont="1" applyFill="1" applyBorder="1" applyAlignment="1">
      <alignment horizontal="center" vertical="center"/>
    </xf>
    <xf numFmtId="0" fontId="25" fillId="0" borderId="15" xfId="0" applyFont="1" applyFill="1" applyBorder="1" applyAlignment="1">
      <alignment horizontal="center" vertical="center"/>
    </xf>
    <xf numFmtId="0" fontId="20" fillId="36" borderId="16" xfId="0" applyFont="1" applyFill="1" applyBorder="1" applyAlignment="1"/>
    <xf numFmtId="0" fontId="30" fillId="37" borderId="19" xfId="0" applyFont="1" applyFill="1" applyBorder="1" applyAlignment="1">
      <alignment horizontal="center" vertical="center"/>
    </xf>
    <xf numFmtId="165" fontId="29" fillId="35" borderId="24" xfId="0" applyNumberFormat="1" applyFont="1" applyFill="1" applyBorder="1" applyAlignment="1">
      <alignment vertical="center"/>
    </xf>
    <xf numFmtId="0" fontId="30" fillId="37" borderId="26" xfId="0" applyFont="1" applyFill="1" applyBorder="1" applyAlignment="1">
      <alignment horizontal="center" vertical="center"/>
    </xf>
    <xf numFmtId="164" fontId="29" fillId="35" borderId="24" xfId="0" applyNumberFormat="1" applyFont="1" applyFill="1" applyBorder="1" applyAlignment="1">
      <alignment vertical="center"/>
    </xf>
    <xf numFmtId="0" fontId="29" fillId="35" borderId="24" xfId="0" applyNumberFormat="1" applyFont="1" applyFill="1" applyBorder="1" applyAlignment="1">
      <alignment horizontal="center" vertical="center"/>
    </xf>
    <xf numFmtId="0" fontId="26" fillId="37" borderId="0" xfId="0" applyFont="1" applyFill="1" applyBorder="1" applyAlignment="1">
      <alignment horizontal="center" vertical="center"/>
    </xf>
    <xf numFmtId="0" fontId="0" fillId="37" borderId="0" xfId="0" applyFill="1" applyBorder="1" applyAlignment="1"/>
    <xf numFmtId="0" fontId="25" fillId="37" borderId="0" xfId="0" applyFont="1" applyFill="1" applyBorder="1"/>
    <xf numFmtId="0" fontId="26" fillId="38" borderId="0" xfId="0" applyFont="1" applyFill="1" applyBorder="1" applyAlignment="1">
      <alignment horizontal="center" vertical="center"/>
    </xf>
    <xf numFmtId="0" fontId="25" fillId="37" borderId="0" xfId="0" applyFont="1" applyFill="1" applyBorder="1" applyAlignment="1">
      <alignment horizontal="left" vertical="center"/>
    </xf>
    <xf numFmtId="1" fontId="21" fillId="37" borderId="0" xfId="0" applyNumberFormat="1" applyFont="1" applyFill="1" applyBorder="1" applyAlignment="1">
      <alignment horizontal="center" vertical="center"/>
    </xf>
    <xf numFmtId="0" fontId="26" fillId="36" borderId="0" xfId="0" applyFont="1" applyFill="1" applyBorder="1" applyAlignment="1">
      <alignment horizontal="center" vertical="center"/>
    </xf>
    <xf numFmtId="1" fontId="21" fillId="36" borderId="0" xfId="0" applyNumberFormat="1" applyFont="1" applyFill="1" applyBorder="1" applyAlignment="1">
      <alignment horizontal="center" vertical="center"/>
    </xf>
    <xf numFmtId="168" fontId="17" fillId="36" borderId="0" xfId="0" applyNumberFormat="1" applyFont="1" applyFill="1" applyBorder="1"/>
    <xf numFmtId="0" fontId="28" fillId="37" borderId="0" xfId="0" applyFont="1" applyFill="1" applyBorder="1" applyAlignment="1">
      <alignment horizontal="center" vertical="center" wrapText="1"/>
    </xf>
    <xf numFmtId="0" fontId="0" fillId="36" borderId="17" xfId="0" applyFill="1" applyBorder="1" applyAlignment="1">
      <alignment horizontal="center" wrapText="1"/>
    </xf>
    <xf numFmtId="0" fontId="0" fillId="36" borderId="16" xfId="0" applyFill="1" applyBorder="1" applyAlignment="1">
      <alignment horizontal="center" wrapText="1"/>
    </xf>
    <xf numFmtId="0" fontId="0" fillId="33" borderId="13" xfId="0" applyFill="1" applyBorder="1" applyAlignment="1">
      <alignment horizontal="center" wrapText="1"/>
    </xf>
    <xf numFmtId="0" fontId="0" fillId="33" borderId="14" xfId="0" applyFill="1" applyBorder="1" applyAlignment="1">
      <alignment horizontal="center" wrapText="1"/>
    </xf>
    <xf numFmtId="0" fontId="32" fillId="35" borderId="0" xfId="0" applyFont="1" applyFill="1" applyBorder="1" applyAlignment="1">
      <alignment horizontal="left" vertical="center" wrapText="1"/>
    </xf>
    <xf numFmtId="0" fontId="32" fillId="35" borderId="0" xfId="0" applyFont="1" applyFill="1" applyBorder="1" applyAlignment="1">
      <alignment horizontal="left" vertical="center"/>
    </xf>
    <xf numFmtId="0" fontId="33" fillId="35" borderId="0" xfId="0" applyFont="1" applyFill="1" applyBorder="1" applyAlignment="1">
      <alignment horizontal="left"/>
    </xf>
    <xf numFmtId="0" fontId="0" fillId="38" borderId="0" xfId="0" applyFill="1" applyBorder="1" applyAlignment="1"/>
    <xf numFmtId="0" fontId="27" fillId="38" borderId="0" xfId="0" applyFont="1" applyFill="1" applyBorder="1" applyAlignment="1">
      <alignment horizontal="center"/>
    </xf>
    <xf numFmtId="0" fontId="27" fillId="38" borderId="0" xfId="0" applyFont="1" applyFill="1" applyBorder="1" applyAlignment="1">
      <alignment horizontal="center" vertical="center"/>
    </xf>
    <xf numFmtId="0" fontId="27" fillId="37" borderId="0" xfId="0" applyFont="1" applyFill="1" applyBorder="1" applyAlignment="1">
      <alignment horizontal="center" vertical="center"/>
    </xf>
    <xf numFmtId="0" fontId="0" fillId="0" borderId="12" xfId="0" applyBorder="1"/>
    <xf numFmtId="0" fontId="0" fillId="0" borderId="12" xfId="0" applyBorder="1" applyAlignment="1">
      <alignment horizontal="left"/>
    </xf>
    <xf numFmtId="1" fontId="0" fillId="0" borderId="12" xfId="0" applyNumberFormat="1" applyBorder="1" applyAlignment="1">
      <alignment horizontal="center"/>
    </xf>
    <xf numFmtId="1" fontId="0" fillId="0" borderId="12" xfId="0" applyNumberFormat="1" applyBorder="1"/>
    <xf numFmtId="0" fontId="0" fillId="0" borderId="12" xfId="0" applyBorder="1" applyAlignment="1">
      <alignment horizontal="center"/>
    </xf>
    <xf numFmtId="0" fontId="0" fillId="36" borderId="0" xfId="0" applyFill="1" applyBorder="1" applyAlignment="1">
      <alignment horizontal="center"/>
    </xf>
    <xf numFmtId="0" fontId="32" fillId="35" borderId="0"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17">
    <dxf>
      <numFmt numFmtId="1" formatCode="0"/>
    </dxf>
    <dxf>
      <numFmt numFmtId="1" formatCode="0"/>
    </dxf>
    <dxf>
      <numFmt numFmtId="168" formatCode="[$$-409]#,\K"/>
    </dxf>
    <dxf>
      <numFmt numFmtId="14" formatCode="0.00%"/>
    </dxf>
    <dxf>
      <numFmt numFmtId="168" formatCode="[$$-409]#,\K"/>
    </dxf>
    <dxf>
      <numFmt numFmtId="168" formatCode="[$$-409]#,\K"/>
    </dxf>
    <dxf>
      <numFmt numFmtId="168" formatCode="[$$-409]#,\K"/>
    </dxf>
    <dxf>
      <font>
        <color theme="1" tint="4.9989318521683403E-2"/>
      </font>
    </dxf>
    <dxf>
      <font>
        <color theme="1" tint="4.9989318521683403E-2"/>
      </font>
    </dxf>
    <dxf>
      <numFmt numFmtId="168" formatCode="[$$-409]#,\K"/>
    </dxf>
    <dxf>
      <numFmt numFmtId="170" formatCode="[$$-409]#,##0_ ;\-[$$-409]#,##0\ "/>
    </dxf>
    <dxf>
      <font>
        <b/>
      </font>
    </dxf>
    <dxf>
      <numFmt numFmtId="14" formatCode="0.00%"/>
    </dxf>
    <dxf>
      <font>
        <b val="0"/>
      </font>
    </dxf>
    <dxf>
      <font>
        <color theme="1" tint="4.9989318521683403E-2"/>
      </font>
    </dxf>
    <dxf>
      <numFmt numFmtId="1" formatCode="0"/>
    </dxf>
    <dxf>
      <font>
        <color theme="1" tint="4.9989318521683403E-2"/>
      </font>
    </dxf>
    <dxf>
      <numFmt numFmtId="168" formatCode="[$$-409]#,\K"/>
    </dxf>
    <dxf>
      <numFmt numFmtId="14" formatCode="0.00%"/>
    </dxf>
    <dxf>
      <numFmt numFmtId="168" formatCode="[$$-409]#,\K"/>
    </dxf>
    <dxf>
      <numFmt numFmtId="168" formatCode="[$$-409]#,\K"/>
    </dxf>
    <dxf>
      <numFmt numFmtId="168" formatCode="[$$-409]#,\K"/>
    </dxf>
    <dxf>
      <alignment horizontal="center" readingOrder="0"/>
    </dxf>
    <dxf>
      <alignment horizontal="center" readingOrder="0"/>
    </dxf>
    <dxf>
      <font>
        <color theme="0"/>
      </font>
    </dxf>
    <dxf>
      <fill>
        <patternFill patternType="solid">
          <bgColor theme="3" tint="-0.499984740745262"/>
        </patternFill>
      </fill>
    </dxf>
    <dxf>
      <font>
        <b/>
      </font>
    </dxf>
    <dxf>
      <font>
        <sz val="12"/>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ill>
        <patternFill>
          <bgColor theme="1" tint="0.499984740745262"/>
        </patternFill>
      </fill>
    </dxf>
    <dxf>
      <font>
        <color theme="0"/>
      </font>
    </dxf>
    <dxf>
      <fill>
        <patternFill>
          <bgColor theme="3" tint="0.79998168889431442"/>
        </patternFill>
      </fill>
    </dxf>
    <dxf>
      <fill>
        <patternFill>
          <bgColor theme="0"/>
        </patternFill>
      </fill>
    </dxf>
    <dxf>
      <font>
        <color theme="0"/>
      </font>
    </dxf>
    <dxf>
      <fill>
        <patternFill>
          <bgColor theme="2"/>
        </patternFill>
      </fill>
    </dxf>
    <dxf>
      <font>
        <color auto="1"/>
      </font>
    </dxf>
    <dxf>
      <fill>
        <patternFill patternType="solid">
          <bgColor theme="4" tint="0.79998168889431442"/>
        </patternFill>
      </fill>
    </dxf>
    <dxf>
      <fill>
        <patternFill>
          <bgColor theme="3"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ont>
        <color theme="2" tint="-0.89999084444715716"/>
      </font>
    </dxf>
    <dxf>
      <fill>
        <patternFill>
          <bgColor theme="0"/>
        </patternFill>
      </fill>
    </dxf>
    <dxf>
      <alignment vertical="center" readingOrder="0"/>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fill>
        <patternFill patternType="solid">
          <bgColor theme="3" tint="-0.499984740745262"/>
        </patternFill>
      </fill>
    </dxf>
    <dxf>
      <font>
        <color theme="0"/>
      </font>
    </dxf>
    <dxf>
      <font>
        <sz val="12"/>
      </font>
    </dxf>
    <dxf>
      <alignment horizontal="center" readingOrder="0"/>
    </dxf>
    <dxf>
      <font>
        <b/>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ont>
        <color theme="0"/>
      </font>
    </dxf>
    <dxf>
      <fill>
        <patternFill>
          <bgColor theme="3" tint="0.79998168889431442"/>
        </patternFill>
      </fill>
    </dxf>
    <dxf>
      <fill>
        <patternFill patternType="solid">
          <bgColor theme="4" tint="0.79998168889431442"/>
        </patternFill>
      </fill>
    </dxf>
    <dxf>
      <font>
        <color theme="3" tint="-0.499984740745262"/>
      </font>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ill>
        <patternFill>
          <bgColor theme="0" tint="-0.34998626667073579"/>
        </patternFill>
      </fill>
    </dxf>
    <dxf>
      <font>
        <color theme="2" tint="-0.89999084444715716"/>
      </font>
    </dxf>
    <dxf>
      <fill>
        <patternFill>
          <bgColor theme="0"/>
        </patternFill>
      </fill>
    </dxf>
    <dxf>
      <alignment vertical="center" readingOrder="0"/>
    </dxf>
    <dxf>
      <font>
        <sz val="14"/>
      </font>
    </dxf>
    <dxf>
      <font>
        <sz val="16"/>
      </font>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alignment horizontal="center" readingOrder="0"/>
    </dxf>
    <dxf>
      <font>
        <sz val="11"/>
      </font>
    </dxf>
    <dxf>
      <fill>
        <patternFill patternType="solid">
          <bgColor theme="3"/>
        </patternFill>
      </fill>
    </dxf>
    <dxf>
      <font>
        <color theme="0"/>
      </font>
    </dxf>
    <dxf>
      <font>
        <sz val="11"/>
      </font>
    </dxf>
    <dxf>
      <alignment vertical="center" readingOrder="0"/>
    </dxf>
    <dxf>
      <alignment vertical="center" readingOrder="0"/>
    </dxf>
    <dxf>
      <font>
        <b/>
      </font>
    </dxf>
    <dxf>
      <font>
        <sz val="14"/>
      </font>
    </dxf>
    <dxf>
      <numFmt numFmtId="164" formatCode="_-[$$-409]\ \ * #,##0.00_ ;_-[$$-409]* \-#,##0.00\ ;_-[$$-409]* &quot;-&quot;??_ ;_-@_ "/>
    </dxf>
    <dxf>
      <font>
        <b/>
      </font>
    </dxf>
    <dxf>
      <font>
        <sz val="12"/>
      </font>
    </dxf>
    <dxf>
      <fill>
        <patternFill>
          <bgColor theme="3" tint="-0.499984740745262"/>
        </patternFill>
      </fill>
    </dxf>
    <dxf>
      <fill>
        <patternFill patternType="solid">
          <bgColor theme="4" tint="0.79998168889431442"/>
        </patternFill>
      </fill>
    </dxf>
    <dxf>
      <alignment horizontal="general" readingOrder="0"/>
    </dxf>
    <dxf>
      <alignment vertical="center" readingOrder="0"/>
    </dxf>
    <dxf>
      <alignment horizontal="center" readingOrder="0"/>
    </dxf>
    <dxf>
      <fill>
        <patternFill>
          <bgColor theme="3" tint="-0.499984740745262"/>
        </patternFill>
      </fill>
    </dxf>
    <dxf>
      <fill>
        <patternFill>
          <bgColor theme="0"/>
        </patternFill>
      </fill>
    </dxf>
    <dxf>
      <font>
        <color theme="3" tint="-0.499984740745262"/>
      </font>
    </dxf>
    <dxf>
      <font>
        <color theme="0"/>
      </font>
    </dxf>
    <dxf>
      <fill>
        <patternFill>
          <bgColor theme="4" tint="0.79998168889431442"/>
        </patternFill>
      </fill>
    </dxf>
    <dxf>
      <font>
        <color auto="1"/>
      </font>
    </dxf>
    <dxf>
      <fill>
        <patternFill>
          <bgColor theme="0"/>
        </patternFill>
      </fill>
    </dxf>
    <dxf>
      <fill>
        <patternFill>
          <bgColor theme="3" tint="-0.499984740745262"/>
        </patternFill>
      </fill>
    </dxf>
    <dxf>
      <font>
        <color theme="0"/>
      </font>
    </dxf>
    <dxf>
      <fill>
        <patternFill>
          <bgColor theme="2"/>
        </patternFill>
      </fill>
    </dxf>
    <dxf>
      <font>
        <color theme="3" tint="-0.499984740745262"/>
      </font>
    </dxf>
    <dxf>
      <fill>
        <patternFill patternType="solid">
          <bgColor theme="4"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0" tint="-0.34998626667073579"/>
        </patternFill>
      </fill>
    </dxf>
    <dxf>
      <font>
        <color theme="2" tint="-0.89999084444715716"/>
      </font>
    </dxf>
    <dxf>
      <fill>
        <patternFill>
          <bgColor theme="0"/>
        </patternFill>
      </fill>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indexed="64"/>
        </left>
        <right style="thin">
          <color indexed="64"/>
        </right>
        <top style="thin">
          <color indexed="64"/>
        </top>
        <bottom style="thin">
          <color indexed="64"/>
        </bottom>
      </border>
    </dxf>
    <dxf>
      <font>
        <sz val="12"/>
      </font>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vertical="center" readingOrder="0"/>
    </dxf>
    <dxf>
      <alignment horizontal="center" readingOrder="0"/>
    </dxf>
    <dxf>
      <fill>
        <patternFill patternType="solid">
          <bgColor theme="3"/>
        </patternFill>
      </fill>
    </dxf>
    <dxf>
      <font>
        <color theme="0"/>
      </font>
    </dxf>
    <dxf>
      <numFmt numFmtId="172" formatCode="[$$-409]\ \ \ \ \ \ \ \ \ \ \ \ \ \ \ \ \ \ \ #,##0.00"/>
    </dxf>
    <dxf>
      <font>
        <b/>
      </font>
    </dxf>
    <dxf>
      <font>
        <sz val="12"/>
      </font>
    </dxf>
    <dxf>
      <numFmt numFmtId="171" formatCode="[$$-409]\ \ \ \ \ \ \ \ \ \ \ \ \ \ \ #,##0.00"/>
    </dxf>
    <dxf>
      <fill>
        <patternFill patternType="solid">
          <bgColor theme="4" tint="0.79998168889431442"/>
        </patternFill>
      </fill>
    </dxf>
    <dxf>
      <alignment horizontal="general" readingOrder="0"/>
    </dxf>
    <dxf>
      <alignment vertical="center" readingOrder="0"/>
    </dxf>
    <dxf>
      <numFmt numFmtId="165" formatCode="_-[$$-409]* #,##0.00_ ;_-[$$-409]* \-#,##0.00\ ;_-[$$-409]* &quot;-&quot;??_ ;_-@_ "/>
    </dxf>
    <dxf>
      <fill>
        <patternFill>
          <bgColor theme="3" tint="-0.499984740745262"/>
        </patternFill>
      </fill>
    </dxf>
    <dxf>
      <fill>
        <patternFill>
          <bgColor theme="1" tint="0.499984740745262"/>
        </patternFill>
      </fill>
    </dxf>
    <dxf>
      <fill>
        <patternFill>
          <bgColor theme="3" tint="0.79998168889431442"/>
        </patternFill>
      </fill>
    </dxf>
    <dxf>
      <font>
        <color auto="1"/>
      </font>
    </dxf>
    <dxf>
      <fill>
        <patternFill>
          <bgColor theme="0"/>
        </patternFill>
      </fill>
    </dxf>
    <dxf>
      <fill>
        <patternFill>
          <bgColor theme="2"/>
        </patternFill>
      </fill>
    </dxf>
    <dxf>
      <font>
        <color theme="3" tint="-0.499984740745262"/>
      </font>
    </dxf>
    <dxf>
      <font>
        <color theme="0"/>
      </font>
    </dxf>
    <dxf>
      <fill>
        <patternFill patternType="solid">
          <bgColor theme="4" tint="0.79998168889431442"/>
        </patternFill>
      </fill>
    </dxf>
    <dxf>
      <fill>
        <patternFill>
          <bgColor theme="4" tint="0.59999389629810485"/>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ont>
        <color theme="2" tint="-0.89999084444715716"/>
      </font>
    </dxf>
    <dxf>
      <fill>
        <patternFill>
          <bgColor theme="3" tint="-0.499984740745262"/>
        </patternFill>
      </fill>
    </dxf>
    <dxf>
      <fill>
        <patternFill>
          <bgColor theme="0"/>
        </patternFill>
      </fill>
    </dxf>
    <dxf>
      <font>
        <sz val="14"/>
      </font>
    </dxf>
    <dxf>
      <border>
        <left/>
        <right/>
        <top/>
      </border>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numFmt numFmtId="168" formatCode="[$$-409]#,\K"/>
    </dxf>
    <dxf>
      <numFmt numFmtId="1" formatCode="0"/>
    </dxf>
    <dxf>
      <numFmt numFmtId="1" formatCode="0"/>
    </dxf>
    <dxf>
      <numFmt numFmtId="168" formatCode="[$$-409]#,\K"/>
    </dxf>
    <dxf>
      <numFmt numFmtId="14" formatCode="0.00%"/>
    </dxf>
    <dxf>
      <font>
        <color theme="1" tint="4.9989318521683403E-2"/>
      </font>
    </dxf>
    <dxf>
      <numFmt numFmtId="168" formatCode="[$$-409]#,\K"/>
    </dxf>
    <dxf>
      <numFmt numFmtId="1" formatCode="0"/>
    </dxf>
    <dxf>
      <font>
        <color theme="1" tint="4.9989318521683403E-2"/>
      </font>
    </dxf>
    <dxf>
      <numFmt numFmtId="168" formatCode="[$$-409]#,\K"/>
    </dxf>
    <dxf>
      <numFmt numFmtId="14" formatCode="0.00%"/>
    </dxf>
    <dxf>
      <numFmt numFmtId="168" formatCode="[$$-409]#,\K"/>
    </dxf>
    <dxf>
      <numFmt numFmtId="14" formatCode="0.00%"/>
    </dxf>
    <dxf>
      <numFmt numFmtId="168" formatCode="[$$-409]#,\K"/>
    </dxf>
    <dxf>
      <numFmt numFmtId="168" formatCode="[$$-409]#,\K"/>
    </dxf>
    <dxf>
      <numFmt numFmtId="168" formatCode="[$$-409]#,\K"/>
    </dxf>
    <dxf>
      <numFmt numFmtId="168" formatCode="[$$-409]#,\K"/>
    </dxf>
    <dxf>
      <alignment horizontal="center" readingOrder="0"/>
    </dxf>
    <dxf>
      <alignment horizontal="center" readingOrder="0"/>
    </dxf>
    <dxf>
      <font>
        <color theme="0"/>
      </font>
    </dxf>
    <dxf>
      <fill>
        <patternFill patternType="solid">
          <bgColor theme="3" tint="-0.499984740745262"/>
        </patternFill>
      </fill>
    </dxf>
    <dxf>
      <font>
        <b/>
      </font>
    </dxf>
    <dxf>
      <font>
        <sz val="12"/>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ill>
        <patternFill>
          <bgColor theme="1" tint="0.499984740745262"/>
        </patternFill>
      </fill>
    </dxf>
    <dxf>
      <font>
        <color theme="0"/>
      </font>
    </dxf>
    <dxf>
      <fill>
        <patternFill>
          <bgColor theme="3" tint="0.79998168889431442"/>
        </patternFill>
      </fill>
    </dxf>
    <dxf>
      <fill>
        <patternFill>
          <bgColor theme="0"/>
        </patternFill>
      </fill>
    </dxf>
    <dxf>
      <font>
        <color theme="0"/>
      </font>
    </dxf>
    <dxf>
      <fill>
        <patternFill>
          <bgColor theme="2"/>
        </patternFill>
      </fill>
    </dxf>
    <dxf>
      <font>
        <color auto="1"/>
      </font>
    </dxf>
    <dxf>
      <fill>
        <patternFill patternType="solid">
          <bgColor theme="4" tint="0.79998168889431442"/>
        </patternFill>
      </fill>
    </dxf>
    <dxf>
      <fill>
        <patternFill>
          <bgColor theme="3"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ont>
        <color theme="2" tint="-0.89999084444715716"/>
      </font>
    </dxf>
    <dxf>
      <fill>
        <patternFill>
          <bgColor theme="0"/>
        </patternFill>
      </fill>
    </dxf>
    <dxf>
      <alignment vertical="center" readingOrder="0"/>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fill>
        <patternFill patternType="solid">
          <bgColor theme="3" tint="-0.499984740745262"/>
        </patternFill>
      </fill>
    </dxf>
    <dxf>
      <font>
        <color theme="0"/>
      </font>
    </dxf>
    <dxf>
      <font>
        <sz val="12"/>
      </font>
    </dxf>
    <dxf>
      <alignment horizontal="center" readingOrder="0"/>
    </dxf>
    <dxf>
      <font>
        <b/>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ont>
        <color theme="0"/>
      </font>
    </dxf>
    <dxf>
      <fill>
        <patternFill>
          <bgColor theme="3" tint="0.79998168889431442"/>
        </patternFill>
      </fill>
    </dxf>
    <dxf>
      <fill>
        <patternFill patternType="solid">
          <bgColor theme="4" tint="0.79998168889431442"/>
        </patternFill>
      </fill>
    </dxf>
    <dxf>
      <font>
        <color theme="3" tint="-0.499984740745262"/>
      </font>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ill>
        <patternFill>
          <bgColor theme="0" tint="-0.34998626667073579"/>
        </patternFill>
      </fill>
    </dxf>
    <dxf>
      <font>
        <color theme="2" tint="-0.89999084444715716"/>
      </font>
    </dxf>
    <dxf>
      <fill>
        <patternFill>
          <bgColor theme="0"/>
        </patternFill>
      </fill>
    </dxf>
    <dxf>
      <alignment vertical="center" readingOrder="0"/>
    </dxf>
    <dxf>
      <font>
        <sz val="14"/>
      </font>
    </dxf>
    <dxf>
      <font>
        <sz val="16"/>
      </font>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alignment horizontal="center" readingOrder="0"/>
    </dxf>
    <dxf>
      <font>
        <sz val="11"/>
      </font>
    </dxf>
    <dxf>
      <fill>
        <patternFill patternType="solid">
          <bgColor theme="3"/>
        </patternFill>
      </fill>
    </dxf>
    <dxf>
      <font>
        <color theme="0"/>
      </font>
    </dxf>
    <dxf>
      <font>
        <sz val="11"/>
      </font>
    </dxf>
    <dxf>
      <alignment vertical="center" readingOrder="0"/>
    </dxf>
    <dxf>
      <alignment vertical="center" readingOrder="0"/>
    </dxf>
    <dxf>
      <font>
        <b/>
      </font>
    </dxf>
    <dxf>
      <font>
        <sz val="14"/>
      </font>
    </dxf>
    <dxf>
      <numFmt numFmtId="164" formatCode="_-[$$-409]\ \ * #,##0.00_ ;_-[$$-409]* \-#,##0.00\ ;_-[$$-409]* &quot;-&quot;??_ ;_-@_ "/>
    </dxf>
    <dxf>
      <font>
        <b/>
      </font>
    </dxf>
    <dxf>
      <font>
        <sz val="12"/>
      </font>
    </dxf>
    <dxf>
      <fill>
        <patternFill>
          <bgColor theme="3" tint="-0.499984740745262"/>
        </patternFill>
      </fill>
    </dxf>
    <dxf>
      <fill>
        <patternFill patternType="solid">
          <bgColor theme="4" tint="0.79998168889431442"/>
        </patternFill>
      </fill>
    </dxf>
    <dxf>
      <alignment horizontal="general" readingOrder="0"/>
    </dxf>
    <dxf>
      <alignment vertical="center" readingOrder="0"/>
    </dxf>
    <dxf>
      <alignment horizontal="center" readingOrder="0"/>
    </dxf>
    <dxf>
      <fill>
        <patternFill>
          <bgColor theme="3" tint="-0.499984740745262"/>
        </patternFill>
      </fill>
    </dxf>
    <dxf>
      <fill>
        <patternFill>
          <bgColor theme="0"/>
        </patternFill>
      </fill>
    </dxf>
    <dxf>
      <font>
        <color theme="3" tint="-0.499984740745262"/>
      </font>
    </dxf>
    <dxf>
      <font>
        <color theme="0"/>
      </font>
    </dxf>
    <dxf>
      <fill>
        <patternFill>
          <bgColor theme="4" tint="0.79998168889431442"/>
        </patternFill>
      </fill>
    </dxf>
    <dxf>
      <font>
        <color auto="1"/>
      </font>
    </dxf>
    <dxf>
      <fill>
        <patternFill>
          <bgColor theme="0"/>
        </patternFill>
      </fill>
    </dxf>
    <dxf>
      <fill>
        <patternFill>
          <bgColor theme="3" tint="-0.499984740745262"/>
        </patternFill>
      </fill>
    </dxf>
    <dxf>
      <font>
        <color theme="0"/>
      </font>
    </dxf>
    <dxf>
      <fill>
        <patternFill>
          <bgColor theme="2"/>
        </patternFill>
      </fill>
    </dxf>
    <dxf>
      <font>
        <color theme="3" tint="-0.499984740745262"/>
      </font>
    </dxf>
    <dxf>
      <fill>
        <patternFill patternType="solid">
          <bgColor theme="4"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0" tint="-0.34998626667073579"/>
        </patternFill>
      </fill>
    </dxf>
    <dxf>
      <font>
        <color theme="2" tint="-0.89999084444715716"/>
      </font>
    </dxf>
    <dxf>
      <fill>
        <patternFill>
          <bgColor theme="0"/>
        </patternFill>
      </fill>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indexed="64"/>
        </left>
        <right style="thin">
          <color indexed="64"/>
        </right>
        <top style="thin">
          <color indexed="64"/>
        </top>
        <bottom style="thin">
          <color indexed="64"/>
        </bottom>
      </border>
    </dxf>
    <dxf>
      <font>
        <sz val="12"/>
      </font>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vertical="center" readingOrder="0"/>
    </dxf>
    <dxf>
      <alignment horizontal="center" readingOrder="0"/>
    </dxf>
    <dxf>
      <fill>
        <patternFill patternType="solid">
          <bgColor theme="3"/>
        </patternFill>
      </fill>
    </dxf>
    <dxf>
      <font>
        <color theme="0"/>
      </font>
    </dxf>
    <dxf>
      <numFmt numFmtId="172" formatCode="[$$-409]\ \ \ \ \ \ \ \ \ \ \ \ \ \ \ \ \ \ \ #,##0.00"/>
    </dxf>
    <dxf>
      <font>
        <b/>
      </font>
    </dxf>
    <dxf>
      <font>
        <sz val="12"/>
      </font>
    </dxf>
    <dxf>
      <numFmt numFmtId="171" formatCode="[$$-409]\ \ \ \ \ \ \ \ \ \ \ \ \ \ \ #,##0.00"/>
    </dxf>
    <dxf>
      <fill>
        <patternFill patternType="solid">
          <bgColor theme="4" tint="0.79998168889431442"/>
        </patternFill>
      </fill>
    </dxf>
    <dxf>
      <alignment horizontal="general" readingOrder="0"/>
    </dxf>
    <dxf>
      <alignment vertical="center" readingOrder="0"/>
    </dxf>
    <dxf>
      <numFmt numFmtId="165" formatCode="_-[$$-409]* #,##0.00_ ;_-[$$-409]* \-#,##0.00\ ;_-[$$-409]* &quot;-&quot;??_ ;_-@_ "/>
    </dxf>
    <dxf>
      <fill>
        <patternFill>
          <bgColor theme="3" tint="-0.499984740745262"/>
        </patternFill>
      </fill>
    </dxf>
    <dxf>
      <fill>
        <patternFill>
          <bgColor theme="1" tint="0.499984740745262"/>
        </patternFill>
      </fill>
    </dxf>
    <dxf>
      <fill>
        <patternFill>
          <bgColor theme="3" tint="0.79998168889431442"/>
        </patternFill>
      </fill>
    </dxf>
    <dxf>
      <font>
        <color auto="1"/>
      </font>
    </dxf>
    <dxf>
      <fill>
        <patternFill>
          <bgColor theme="0"/>
        </patternFill>
      </fill>
    </dxf>
    <dxf>
      <fill>
        <patternFill>
          <bgColor theme="2"/>
        </patternFill>
      </fill>
    </dxf>
    <dxf>
      <font>
        <color theme="3" tint="-0.499984740745262"/>
      </font>
    </dxf>
    <dxf>
      <font>
        <color theme="0"/>
      </font>
    </dxf>
    <dxf>
      <fill>
        <patternFill patternType="solid">
          <bgColor theme="4" tint="0.79998168889431442"/>
        </patternFill>
      </fill>
    </dxf>
    <dxf>
      <fill>
        <patternFill>
          <bgColor theme="4" tint="0.59999389629810485"/>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ont>
        <color theme="2" tint="-0.89999084444715716"/>
      </font>
    </dxf>
    <dxf>
      <fill>
        <patternFill>
          <bgColor theme="3" tint="-0.499984740745262"/>
        </patternFill>
      </fill>
    </dxf>
    <dxf>
      <fill>
        <patternFill>
          <bgColor theme="0"/>
        </patternFill>
      </fill>
    </dxf>
    <dxf>
      <font>
        <sz val="14"/>
      </font>
    </dxf>
    <dxf>
      <border>
        <left/>
        <right/>
        <top/>
      </border>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numFmt numFmtId="168" formatCode="[$$-409]#,\K"/>
    </dxf>
    <dxf>
      <numFmt numFmtId="1" formatCode="0"/>
    </dxf>
    <dxf>
      <numFmt numFmtId="1" formatCode="0"/>
    </dxf>
    <dxf>
      <numFmt numFmtId="168" formatCode="[$$-409]#,\K"/>
    </dxf>
    <dxf>
      <numFmt numFmtId="14" formatCode="0.00%"/>
    </dxf>
    <dxf>
      <numFmt numFmtId="168" formatCode="[$$-409]#,\K"/>
    </dxf>
    <dxf>
      <numFmt numFmtId="168" formatCode="[$$-409]#,\K"/>
    </dxf>
    <dxf>
      <numFmt numFmtId="168" formatCode="[$$-409]#,\K"/>
    </dxf>
    <dxf>
      <font>
        <color theme="1" tint="4.9989318521683403E-2"/>
      </font>
    </dxf>
    <dxf>
      <font>
        <color theme="1" tint="4.9989318521683403E-2"/>
      </font>
    </dxf>
    <dxf>
      <numFmt numFmtId="168" formatCode="[$$-409]#,\K"/>
    </dxf>
    <dxf>
      <numFmt numFmtId="170" formatCode="[$$-409]#,##0_ ;\-[$$-409]#,##0\ "/>
    </dxf>
    <dxf>
      <font>
        <b/>
      </font>
    </dxf>
    <dxf>
      <numFmt numFmtId="14" formatCode="0.00%"/>
    </dxf>
    <dxf>
      <font>
        <b val="0"/>
      </font>
    </dxf>
    <dxf>
      <font>
        <color theme="1" tint="4.9989318521683403E-2"/>
      </font>
    </dxf>
    <dxf>
      <numFmt numFmtId="1" formatCode="0"/>
    </dxf>
    <dxf>
      <font>
        <color theme="1" tint="4.9989318521683403E-2"/>
      </font>
    </dxf>
    <dxf>
      <numFmt numFmtId="168" formatCode="[$$-409]#,\K"/>
    </dxf>
    <dxf>
      <numFmt numFmtId="14" formatCode="0.00%"/>
    </dxf>
    <dxf>
      <numFmt numFmtId="168" formatCode="[$$-409]#,\K"/>
    </dxf>
    <dxf>
      <numFmt numFmtId="168" formatCode="[$$-409]#,\K"/>
    </dxf>
    <dxf>
      <numFmt numFmtId="168" formatCode="[$$-409]#,\K"/>
    </dxf>
    <dxf>
      <alignment horizontal="center" readingOrder="0"/>
    </dxf>
    <dxf>
      <alignment horizontal="center" readingOrder="0"/>
    </dxf>
    <dxf>
      <font>
        <color theme="0"/>
      </font>
    </dxf>
    <dxf>
      <fill>
        <patternFill patternType="solid">
          <bgColor theme="3" tint="-0.499984740745262"/>
        </patternFill>
      </fill>
    </dxf>
    <dxf>
      <font>
        <b/>
      </font>
    </dxf>
    <dxf>
      <font>
        <sz val="12"/>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ill>
        <patternFill>
          <bgColor theme="1" tint="0.499984740745262"/>
        </patternFill>
      </fill>
    </dxf>
    <dxf>
      <font>
        <color theme="0"/>
      </font>
    </dxf>
    <dxf>
      <fill>
        <patternFill>
          <bgColor theme="3" tint="0.79998168889431442"/>
        </patternFill>
      </fill>
    </dxf>
    <dxf>
      <fill>
        <patternFill>
          <bgColor theme="0"/>
        </patternFill>
      </fill>
    </dxf>
    <dxf>
      <font>
        <color theme="0"/>
      </font>
    </dxf>
    <dxf>
      <fill>
        <patternFill>
          <bgColor theme="2"/>
        </patternFill>
      </fill>
    </dxf>
    <dxf>
      <font>
        <color auto="1"/>
      </font>
    </dxf>
    <dxf>
      <fill>
        <patternFill patternType="solid">
          <bgColor theme="4" tint="0.79998168889431442"/>
        </patternFill>
      </fill>
    </dxf>
    <dxf>
      <fill>
        <patternFill>
          <bgColor theme="3"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ont>
        <color theme="2" tint="-0.89999084444715716"/>
      </font>
    </dxf>
    <dxf>
      <fill>
        <patternFill>
          <bgColor theme="0"/>
        </patternFill>
      </fill>
    </dxf>
    <dxf>
      <alignment vertical="center" readingOrder="0"/>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fill>
        <patternFill patternType="solid">
          <bgColor theme="3" tint="-0.499984740745262"/>
        </patternFill>
      </fill>
    </dxf>
    <dxf>
      <font>
        <color theme="0"/>
      </font>
    </dxf>
    <dxf>
      <font>
        <sz val="12"/>
      </font>
    </dxf>
    <dxf>
      <alignment horizontal="center" readingOrder="0"/>
    </dxf>
    <dxf>
      <font>
        <b/>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ont>
        <color theme="0"/>
      </font>
    </dxf>
    <dxf>
      <fill>
        <patternFill>
          <bgColor theme="3" tint="0.79998168889431442"/>
        </patternFill>
      </fill>
    </dxf>
    <dxf>
      <fill>
        <patternFill patternType="solid">
          <bgColor theme="4" tint="0.79998168889431442"/>
        </patternFill>
      </fill>
    </dxf>
    <dxf>
      <font>
        <color theme="3" tint="-0.499984740745262"/>
      </font>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ill>
        <patternFill>
          <bgColor theme="0" tint="-0.34998626667073579"/>
        </patternFill>
      </fill>
    </dxf>
    <dxf>
      <font>
        <color theme="2" tint="-0.89999084444715716"/>
      </font>
    </dxf>
    <dxf>
      <fill>
        <patternFill>
          <bgColor theme="0"/>
        </patternFill>
      </fill>
    </dxf>
    <dxf>
      <alignment vertical="center" readingOrder="0"/>
    </dxf>
    <dxf>
      <font>
        <sz val="14"/>
      </font>
    </dxf>
    <dxf>
      <font>
        <sz val="16"/>
      </font>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alignment horizontal="center" readingOrder="0"/>
    </dxf>
    <dxf>
      <font>
        <sz val="11"/>
      </font>
    </dxf>
    <dxf>
      <fill>
        <patternFill patternType="solid">
          <bgColor theme="3"/>
        </patternFill>
      </fill>
    </dxf>
    <dxf>
      <font>
        <color theme="0"/>
      </font>
    </dxf>
    <dxf>
      <font>
        <sz val="11"/>
      </font>
    </dxf>
    <dxf>
      <alignment vertical="center" readingOrder="0"/>
    </dxf>
    <dxf>
      <alignment vertical="center" readingOrder="0"/>
    </dxf>
    <dxf>
      <font>
        <b/>
      </font>
    </dxf>
    <dxf>
      <font>
        <sz val="14"/>
      </font>
    </dxf>
    <dxf>
      <numFmt numFmtId="164" formatCode="_-[$$-409]\ \ * #,##0.00_ ;_-[$$-409]* \-#,##0.00\ ;_-[$$-409]* &quot;-&quot;??_ ;_-@_ "/>
    </dxf>
    <dxf>
      <font>
        <b/>
      </font>
    </dxf>
    <dxf>
      <font>
        <sz val="12"/>
      </font>
    </dxf>
    <dxf>
      <fill>
        <patternFill>
          <bgColor theme="3" tint="-0.499984740745262"/>
        </patternFill>
      </fill>
    </dxf>
    <dxf>
      <fill>
        <patternFill patternType="solid">
          <bgColor theme="4" tint="0.79998168889431442"/>
        </patternFill>
      </fill>
    </dxf>
    <dxf>
      <alignment horizontal="general" readingOrder="0"/>
    </dxf>
    <dxf>
      <alignment vertical="center" readingOrder="0"/>
    </dxf>
    <dxf>
      <alignment horizontal="center" readingOrder="0"/>
    </dxf>
    <dxf>
      <fill>
        <patternFill>
          <bgColor theme="3" tint="-0.499984740745262"/>
        </patternFill>
      </fill>
    </dxf>
    <dxf>
      <fill>
        <patternFill>
          <bgColor theme="0"/>
        </patternFill>
      </fill>
    </dxf>
    <dxf>
      <font>
        <color theme="3" tint="-0.499984740745262"/>
      </font>
    </dxf>
    <dxf>
      <font>
        <color theme="0"/>
      </font>
    </dxf>
    <dxf>
      <fill>
        <patternFill>
          <bgColor theme="4" tint="0.79998168889431442"/>
        </patternFill>
      </fill>
    </dxf>
    <dxf>
      <font>
        <color auto="1"/>
      </font>
    </dxf>
    <dxf>
      <fill>
        <patternFill>
          <bgColor theme="0"/>
        </patternFill>
      </fill>
    </dxf>
    <dxf>
      <fill>
        <patternFill>
          <bgColor theme="3" tint="-0.499984740745262"/>
        </patternFill>
      </fill>
    </dxf>
    <dxf>
      <font>
        <color theme="0"/>
      </font>
    </dxf>
    <dxf>
      <fill>
        <patternFill>
          <bgColor theme="2"/>
        </patternFill>
      </fill>
    </dxf>
    <dxf>
      <font>
        <color theme="3" tint="-0.499984740745262"/>
      </font>
    </dxf>
    <dxf>
      <fill>
        <patternFill patternType="solid">
          <bgColor theme="4"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0" tint="-0.34998626667073579"/>
        </patternFill>
      </fill>
    </dxf>
    <dxf>
      <font>
        <color theme="2" tint="-0.89999084444715716"/>
      </font>
    </dxf>
    <dxf>
      <fill>
        <patternFill>
          <bgColor theme="0"/>
        </patternFill>
      </fill>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indexed="64"/>
        </left>
        <right style="thin">
          <color indexed="64"/>
        </right>
        <top style="thin">
          <color indexed="64"/>
        </top>
        <bottom style="thin">
          <color indexed="64"/>
        </bottom>
      </border>
    </dxf>
    <dxf>
      <font>
        <sz val="12"/>
      </font>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vertical="center" readingOrder="0"/>
    </dxf>
    <dxf>
      <alignment horizontal="center" readingOrder="0"/>
    </dxf>
    <dxf>
      <fill>
        <patternFill patternType="solid">
          <bgColor theme="3"/>
        </patternFill>
      </fill>
    </dxf>
    <dxf>
      <font>
        <color theme="0"/>
      </font>
    </dxf>
    <dxf>
      <numFmt numFmtId="172" formatCode="[$$-409]\ \ \ \ \ \ \ \ \ \ \ \ \ \ \ \ \ \ \ #,##0.00"/>
    </dxf>
    <dxf>
      <font>
        <b/>
      </font>
    </dxf>
    <dxf>
      <font>
        <sz val="12"/>
      </font>
    </dxf>
    <dxf>
      <numFmt numFmtId="171" formatCode="[$$-409]\ \ \ \ \ \ \ \ \ \ \ \ \ \ \ #,##0.00"/>
    </dxf>
    <dxf>
      <fill>
        <patternFill patternType="solid">
          <bgColor theme="4" tint="0.79998168889431442"/>
        </patternFill>
      </fill>
    </dxf>
    <dxf>
      <alignment horizontal="general" readingOrder="0"/>
    </dxf>
    <dxf>
      <alignment vertical="center" readingOrder="0"/>
    </dxf>
    <dxf>
      <numFmt numFmtId="165" formatCode="_-[$$-409]* #,##0.00_ ;_-[$$-409]* \-#,##0.00\ ;_-[$$-409]* &quot;-&quot;??_ ;_-@_ "/>
    </dxf>
    <dxf>
      <fill>
        <patternFill>
          <bgColor theme="3" tint="-0.499984740745262"/>
        </patternFill>
      </fill>
    </dxf>
    <dxf>
      <fill>
        <patternFill>
          <bgColor theme="1" tint="0.499984740745262"/>
        </patternFill>
      </fill>
    </dxf>
    <dxf>
      <fill>
        <patternFill>
          <bgColor theme="3" tint="0.79998168889431442"/>
        </patternFill>
      </fill>
    </dxf>
    <dxf>
      <font>
        <color auto="1"/>
      </font>
    </dxf>
    <dxf>
      <fill>
        <patternFill>
          <bgColor theme="0"/>
        </patternFill>
      </fill>
    </dxf>
    <dxf>
      <fill>
        <patternFill>
          <bgColor theme="2"/>
        </patternFill>
      </fill>
    </dxf>
    <dxf>
      <font>
        <color theme="3" tint="-0.499984740745262"/>
      </font>
    </dxf>
    <dxf>
      <font>
        <color theme="0"/>
      </font>
    </dxf>
    <dxf>
      <fill>
        <patternFill patternType="solid">
          <bgColor theme="4" tint="0.79998168889431442"/>
        </patternFill>
      </fill>
    </dxf>
    <dxf>
      <fill>
        <patternFill>
          <bgColor theme="4" tint="0.59999389629810485"/>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ont>
        <color theme="2" tint="-0.89999084444715716"/>
      </font>
    </dxf>
    <dxf>
      <fill>
        <patternFill>
          <bgColor theme="3" tint="-0.499984740745262"/>
        </patternFill>
      </fill>
    </dxf>
    <dxf>
      <fill>
        <patternFill>
          <bgColor theme="0"/>
        </patternFill>
      </fill>
    </dxf>
    <dxf>
      <font>
        <sz val="14"/>
      </font>
    </dxf>
    <dxf>
      <border>
        <left/>
        <right/>
        <top/>
      </border>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numFmt numFmtId="168" formatCode="[$$-409]#,\K"/>
    </dxf>
    <dxf>
      <numFmt numFmtId="1" formatCode="0"/>
    </dxf>
    <dxf>
      <numFmt numFmtId="1" formatCode="0"/>
    </dxf>
    <dxf>
      <numFmt numFmtId="168" formatCode="[$$-409]#,\K"/>
    </dxf>
    <dxf>
      <numFmt numFmtId="14" formatCode="0.00%"/>
    </dxf>
    <dxf>
      <numFmt numFmtId="168" formatCode="[$$-409]#,\K"/>
    </dxf>
    <dxf>
      <numFmt numFmtId="168" formatCode="[$$-409]#,\K"/>
    </dxf>
    <dxf>
      <numFmt numFmtId="168" formatCode="[$$-409]#,\K"/>
    </dxf>
    <dxf>
      <font>
        <color theme="1" tint="4.9989318521683403E-2"/>
      </font>
    </dxf>
    <dxf>
      <font>
        <color theme="1" tint="4.9989318521683403E-2"/>
      </font>
    </dxf>
    <dxf>
      <numFmt numFmtId="168" formatCode="[$$-409]#,\K"/>
    </dxf>
    <dxf>
      <numFmt numFmtId="170" formatCode="[$$-409]#,##0_ ;\-[$$-409]#,##0\ "/>
    </dxf>
    <dxf>
      <font>
        <b/>
      </font>
    </dxf>
    <dxf>
      <numFmt numFmtId="14" formatCode="0.00%"/>
    </dxf>
    <dxf>
      <font>
        <b val="0"/>
      </font>
    </dxf>
    <dxf>
      <font>
        <color theme="1" tint="4.9989318521683403E-2"/>
      </font>
    </dxf>
    <dxf>
      <numFmt numFmtId="1" formatCode="0"/>
    </dxf>
    <dxf>
      <font>
        <color theme="1" tint="4.9989318521683403E-2"/>
      </font>
    </dxf>
    <dxf>
      <numFmt numFmtId="168" formatCode="[$$-409]#,\K"/>
    </dxf>
    <dxf>
      <numFmt numFmtId="14" formatCode="0.00%"/>
    </dxf>
    <dxf>
      <numFmt numFmtId="168" formatCode="[$$-409]#,\K"/>
    </dxf>
    <dxf>
      <numFmt numFmtId="168" formatCode="[$$-409]#,\K"/>
    </dxf>
    <dxf>
      <numFmt numFmtId="168" formatCode="[$$-409]#,\K"/>
    </dxf>
    <dxf>
      <alignment horizontal="center" readingOrder="0"/>
    </dxf>
    <dxf>
      <alignment horizontal="center" readingOrder="0"/>
    </dxf>
    <dxf>
      <font>
        <color theme="0"/>
      </font>
    </dxf>
    <dxf>
      <fill>
        <patternFill patternType="solid">
          <bgColor theme="3" tint="-0.499984740745262"/>
        </patternFill>
      </fill>
    </dxf>
    <dxf>
      <font>
        <b/>
      </font>
    </dxf>
    <dxf>
      <font>
        <sz val="12"/>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ill>
        <patternFill>
          <bgColor theme="1" tint="0.499984740745262"/>
        </patternFill>
      </fill>
    </dxf>
    <dxf>
      <font>
        <color theme="0"/>
      </font>
    </dxf>
    <dxf>
      <fill>
        <patternFill>
          <bgColor theme="3" tint="0.79998168889431442"/>
        </patternFill>
      </fill>
    </dxf>
    <dxf>
      <fill>
        <patternFill>
          <bgColor theme="0"/>
        </patternFill>
      </fill>
    </dxf>
    <dxf>
      <font>
        <color theme="0"/>
      </font>
    </dxf>
    <dxf>
      <fill>
        <patternFill>
          <bgColor theme="2"/>
        </patternFill>
      </fill>
    </dxf>
    <dxf>
      <font>
        <color auto="1"/>
      </font>
    </dxf>
    <dxf>
      <fill>
        <patternFill patternType="solid">
          <bgColor theme="4" tint="0.79998168889431442"/>
        </patternFill>
      </fill>
    </dxf>
    <dxf>
      <fill>
        <patternFill>
          <bgColor theme="3"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ont>
        <color theme="2" tint="-0.89999084444715716"/>
      </font>
    </dxf>
    <dxf>
      <fill>
        <patternFill>
          <bgColor theme="0"/>
        </patternFill>
      </fill>
    </dxf>
    <dxf>
      <alignment vertical="center" readingOrder="0"/>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fill>
        <patternFill patternType="solid">
          <bgColor theme="3" tint="-0.499984740745262"/>
        </patternFill>
      </fill>
    </dxf>
    <dxf>
      <font>
        <color theme="0"/>
      </font>
    </dxf>
    <dxf>
      <font>
        <sz val="12"/>
      </font>
    </dxf>
    <dxf>
      <alignment horizontal="center" readingOrder="0"/>
    </dxf>
    <dxf>
      <font>
        <b/>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ont>
        <color theme="0"/>
      </font>
    </dxf>
    <dxf>
      <fill>
        <patternFill>
          <bgColor theme="3" tint="0.79998168889431442"/>
        </patternFill>
      </fill>
    </dxf>
    <dxf>
      <fill>
        <patternFill patternType="solid">
          <bgColor theme="4" tint="0.79998168889431442"/>
        </patternFill>
      </fill>
    </dxf>
    <dxf>
      <font>
        <color theme="3" tint="-0.499984740745262"/>
      </font>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ill>
        <patternFill>
          <bgColor theme="0" tint="-0.34998626667073579"/>
        </patternFill>
      </fill>
    </dxf>
    <dxf>
      <font>
        <color theme="2" tint="-0.89999084444715716"/>
      </font>
    </dxf>
    <dxf>
      <fill>
        <patternFill>
          <bgColor theme="0"/>
        </patternFill>
      </fill>
    </dxf>
    <dxf>
      <alignment vertical="center" readingOrder="0"/>
    </dxf>
    <dxf>
      <font>
        <sz val="14"/>
      </font>
    </dxf>
    <dxf>
      <font>
        <sz val="16"/>
      </font>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alignment horizontal="center" readingOrder="0"/>
    </dxf>
    <dxf>
      <font>
        <sz val="11"/>
      </font>
    </dxf>
    <dxf>
      <fill>
        <patternFill patternType="solid">
          <bgColor theme="3"/>
        </patternFill>
      </fill>
    </dxf>
    <dxf>
      <font>
        <color theme="0"/>
      </font>
    </dxf>
    <dxf>
      <font>
        <sz val="11"/>
      </font>
    </dxf>
    <dxf>
      <alignment vertical="center" readingOrder="0"/>
    </dxf>
    <dxf>
      <alignment vertical="center" readingOrder="0"/>
    </dxf>
    <dxf>
      <font>
        <b/>
      </font>
    </dxf>
    <dxf>
      <font>
        <sz val="14"/>
      </font>
    </dxf>
    <dxf>
      <numFmt numFmtId="164" formatCode="_-[$$-409]\ \ * #,##0.00_ ;_-[$$-409]* \-#,##0.00\ ;_-[$$-409]* &quot;-&quot;??_ ;_-@_ "/>
    </dxf>
    <dxf>
      <font>
        <b/>
      </font>
    </dxf>
    <dxf>
      <font>
        <sz val="12"/>
      </font>
    </dxf>
    <dxf>
      <fill>
        <patternFill>
          <bgColor theme="3" tint="-0.499984740745262"/>
        </patternFill>
      </fill>
    </dxf>
    <dxf>
      <fill>
        <patternFill patternType="solid">
          <bgColor theme="4" tint="0.79998168889431442"/>
        </patternFill>
      </fill>
    </dxf>
    <dxf>
      <alignment horizontal="general" readingOrder="0"/>
    </dxf>
    <dxf>
      <alignment vertical="center" readingOrder="0"/>
    </dxf>
    <dxf>
      <alignment horizontal="center" readingOrder="0"/>
    </dxf>
    <dxf>
      <fill>
        <patternFill>
          <bgColor theme="3" tint="-0.499984740745262"/>
        </patternFill>
      </fill>
    </dxf>
    <dxf>
      <fill>
        <patternFill>
          <bgColor theme="0"/>
        </patternFill>
      </fill>
    </dxf>
    <dxf>
      <font>
        <color theme="3" tint="-0.499984740745262"/>
      </font>
    </dxf>
    <dxf>
      <font>
        <color theme="0"/>
      </font>
    </dxf>
    <dxf>
      <fill>
        <patternFill>
          <bgColor theme="4" tint="0.79998168889431442"/>
        </patternFill>
      </fill>
    </dxf>
    <dxf>
      <font>
        <color auto="1"/>
      </font>
    </dxf>
    <dxf>
      <fill>
        <patternFill>
          <bgColor theme="0"/>
        </patternFill>
      </fill>
    </dxf>
    <dxf>
      <fill>
        <patternFill>
          <bgColor theme="3" tint="-0.499984740745262"/>
        </patternFill>
      </fill>
    </dxf>
    <dxf>
      <font>
        <color theme="0"/>
      </font>
    </dxf>
    <dxf>
      <fill>
        <patternFill>
          <bgColor theme="2"/>
        </patternFill>
      </fill>
    </dxf>
    <dxf>
      <font>
        <color theme="3" tint="-0.499984740745262"/>
      </font>
    </dxf>
    <dxf>
      <fill>
        <patternFill patternType="solid">
          <bgColor theme="4"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0" tint="-0.34998626667073579"/>
        </patternFill>
      </fill>
    </dxf>
    <dxf>
      <font>
        <color theme="2" tint="-0.89999084444715716"/>
      </font>
    </dxf>
    <dxf>
      <fill>
        <patternFill>
          <bgColor theme="0"/>
        </patternFill>
      </fill>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indexed="64"/>
        </left>
        <right style="thin">
          <color indexed="64"/>
        </right>
        <top style="thin">
          <color indexed="64"/>
        </top>
        <bottom style="thin">
          <color indexed="64"/>
        </bottom>
      </border>
    </dxf>
    <dxf>
      <font>
        <sz val="12"/>
      </font>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vertical="center" readingOrder="0"/>
    </dxf>
    <dxf>
      <alignment horizontal="center" readingOrder="0"/>
    </dxf>
    <dxf>
      <fill>
        <patternFill patternType="solid">
          <bgColor theme="3"/>
        </patternFill>
      </fill>
    </dxf>
    <dxf>
      <font>
        <color theme="0"/>
      </font>
    </dxf>
    <dxf>
      <numFmt numFmtId="172" formatCode="[$$-409]\ \ \ \ \ \ \ \ \ \ \ \ \ \ \ \ \ \ \ #,##0.00"/>
    </dxf>
    <dxf>
      <font>
        <b/>
      </font>
    </dxf>
    <dxf>
      <font>
        <sz val="12"/>
      </font>
    </dxf>
    <dxf>
      <numFmt numFmtId="171" formatCode="[$$-409]\ \ \ \ \ \ \ \ \ \ \ \ \ \ \ #,##0.00"/>
    </dxf>
    <dxf>
      <fill>
        <patternFill patternType="solid">
          <bgColor theme="4" tint="0.79998168889431442"/>
        </patternFill>
      </fill>
    </dxf>
    <dxf>
      <alignment horizontal="general" readingOrder="0"/>
    </dxf>
    <dxf>
      <alignment vertical="center" readingOrder="0"/>
    </dxf>
    <dxf>
      <numFmt numFmtId="165" formatCode="_-[$$-409]* #,##0.00_ ;_-[$$-409]* \-#,##0.00\ ;_-[$$-409]* &quot;-&quot;??_ ;_-@_ "/>
    </dxf>
    <dxf>
      <fill>
        <patternFill>
          <bgColor theme="3" tint="-0.499984740745262"/>
        </patternFill>
      </fill>
    </dxf>
    <dxf>
      <fill>
        <patternFill>
          <bgColor theme="1" tint="0.499984740745262"/>
        </patternFill>
      </fill>
    </dxf>
    <dxf>
      <fill>
        <patternFill>
          <bgColor theme="3" tint="0.79998168889431442"/>
        </patternFill>
      </fill>
    </dxf>
    <dxf>
      <font>
        <color auto="1"/>
      </font>
    </dxf>
    <dxf>
      <fill>
        <patternFill>
          <bgColor theme="0"/>
        </patternFill>
      </fill>
    </dxf>
    <dxf>
      <fill>
        <patternFill>
          <bgColor theme="2"/>
        </patternFill>
      </fill>
    </dxf>
    <dxf>
      <font>
        <color theme="3" tint="-0.499984740745262"/>
      </font>
    </dxf>
    <dxf>
      <font>
        <color theme="0"/>
      </font>
    </dxf>
    <dxf>
      <fill>
        <patternFill patternType="solid">
          <bgColor theme="4" tint="0.79998168889431442"/>
        </patternFill>
      </fill>
    </dxf>
    <dxf>
      <fill>
        <patternFill>
          <bgColor theme="4" tint="0.59999389629810485"/>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ont>
        <color theme="2" tint="-0.89999084444715716"/>
      </font>
    </dxf>
    <dxf>
      <fill>
        <patternFill>
          <bgColor theme="3" tint="-0.499984740745262"/>
        </patternFill>
      </fill>
    </dxf>
    <dxf>
      <fill>
        <patternFill>
          <bgColor theme="0"/>
        </patternFill>
      </fill>
    </dxf>
    <dxf>
      <font>
        <sz val="14"/>
      </font>
    </dxf>
    <dxf>
      <border>
        <left/>
        <right/>
        <top/>
      </border>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numFmt numFmtId="168" formatCode="[$$-409]#,\K"/>
    </dxf>
    <dxf>
      <numFmt numFmtId="1" formatCode="0"/>
    </dxf>
    <dxf>
      <numFmt numFmtId="1" formatCode="0"/>
    </dxf>
    <dxf>
      <numFmt numFmtId="168" formatCode="[$$-409]#,\K"/>
    </dxf>
    <dxf>
      <numFmt numFmtId="14" formatCode="0.00%"/>
    </dxf>
    <dxf>
      <numFmt numFmtId="168" formatCode="[$$-409]#,\K"/>
    </dxf>
    <dxf>
      <numFmt numFmtId="168" formatCode="[$$-409]#,\K"/>
    </dxf>
    <dxf>
      <numFmt numFmtId="168" formatCode="[$$-409]#,\K"/>
    </dxf>
    <dxf>
      <font>
        <color theme="1" tint="4.9989318521683403E-2"/>
      </font>
    </dxf>
    <dxf>
      <font>
        <color theme="1" tint="4.9989318521683403E-2"/>
      </font>
    </dxf>
    <dxf>
      <numFmt numFmtId="168" formatCode="[$$-409]#,\K"/>
    </dxf>
    <dxf>
      <numFmt numFmtId="170" formatCode="[$$-409]#,##0_ ;\-[$$-409]#,##0\ "/>
    </dxf>
    <dxf>
      <font>
        <b/>
      </font>
    </dxf>
    <dxf>
      <numFmt numFmtId="14" formatCode="0.00%"/>
    </dxf>
    <dxf>
      <font>
        <b val="0"/>
      </font>
    </dxf>
    <dxf>
      <font>
        <color theme="1" tint="4.9989318521683403E-2"/>
      </font>
    </dxf>
    <dxf>
      <numFmt numFmtId="1" formatCode="0"/>
    </dxf>
    <dxf>
      <font>
        <color theme="1" tint="4.9989318521683403E-2"/>
      </font>
    </dxf>
    <dxf>
      <numFmt numFmtId="168" formatCode="[$$-409]#,\K"/>
    </dxf>
    <dxf>
      <numFmt numFmtId="14" formatCode="0.00%"/>
    </dxf>
    <dxf>
      <numFmt numFmtId="168" formatCode="[$$-409]#,\K"/>
    </dxf>
    <dxf>
      <numFmt numFmtId="168" formatCode="[$$-409]#,\K"/>
    </dxf>
    <dxf>
      <numFmt numFmtId="168" formatCode="[$$-409]#,\K"/>
    </dxf>
    <dxf>
      <alignment horizontal="center" readingOrder="0"/>
    </dxf>
    <dxf>
      <alignment horizontal="center" readingOrder="0"/>
    </dxf>
    <dxf>
      <font>
        <color theme="0"/>
      </font>
    </dxf>
    <dxf>
      <fill>
        <patternFill patternType="solid">
          <bgColor theme="3" tint="-0.499984740745262"/>
        </patternFill>
      </fill>
    </dxf>
    <dxf>
      <font>
        <b/>
      </font>
    </dxf>
    <dxf>
      <font>
        <sz val="12"/>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ill>
        <patternFill>
          <bgColor theme="1" tint="0.499984740745262"/>
        </patternFill>
      </fill>
    </dxf>
    <dxf>
      <font>
        <color theme="0"/>
      </font>
    </dxf>
    <dxf>
      <fill>
        <patternFill>
          <bgColor theme="3" tint="0.79998168889431442"/>
        </patternFill>
      </fill>
    </dxf>
    <dxf>
      <fill>
        <patternFill>
          <bgColor theme="0"/>
        </patternFill>
      </fill>
    </dxf>
    <dxf>
      <font>
        <color theme="0"/>
      </font>
    </dxf>
    <dxf>
      <fill>
        <patternFill>
          <bgColor theme="2"/>
        </patternFill>
      </fill>
    </dxf>
    <dxf>
      <font>
        <color auto="1"/>
      </font>
    </dxf>
    <dxf>
      <fill>
        <patternFill patternType="solid">
          <bgColor theme="4" tint="0.79998168889431442"/>
        </patternFill>
      </fill>
    </dxf>
    <dxf>
      <fill>
        <patternFill>
          <bgColor theme="3"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ont>
        <color theme="2" tint="-0.89999084444715716"/>
      </font>
    </dxf>
    <dxf>
      <fill>
        <patternFill>
          <bgColor theme="0"/>
        </patternFill>
      </fill>
    </dxf>
    <dxf>
      <alignment vertical="center" readingOrder="0"/>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fill>
        <patternFill patternType="solid">
          <bgColor theme="3" tint="-0.499984740745262"/>
        </patternFill>
      </fill>
    </dxf>
    <dxf>
      <font>
        <color theme="0"/>
      </font>
    </dxf>
    <dxf>
      <font>
        <sz val="12"/>
      </font>
    </dxf>
    <dxf>
      <alignment horizontal="center" readingOrder="0"/>
    </dxf>
    <dxf>
      <font>
        <b/>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ont>
        <color theme="0"/>
      </font>
    </dxf>
    <dxf>
      <fill>
        <patternFill>
          <bgColor theme="3" tint="0.79998168889431442"/>
        </patternFill>
      </fill>
    </dxf>
    <dxf>
      <fill>
        <patternFill patternType="solid">
          <bgColor theme="4" tint="0.79998168889431442"/>
        </patternFill>
      </fill>
    </dxf>
    <dxf>
      <font>
        <color theme="3" tint="-0.499984740745262"/>
      </font>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ill>
        <patternFill>
          <bgColor theme="0" tint="-0.34998626667073579"/>
        </patternFill>
      </fill>
    </dxf>
    <dxf>
      <font>
        <color theme="2" tint="-0.89999084444715716"/>
      </font>
    </dxf>
    <dxf>
      <fill>
        <patternFill>
          <bgColor theme="0"/>
        </patternFill>
      </fill>
    </dxf>
    <dxf>
      <alignment vertical="center" readingOrder="0"/>
    </dxf>
    <dxf>
      <font>
        <sz val="14"/>
      </font>
    </dxf>
    <dxf>
      <font>
        <sz val="16"/>
      </font>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alignment horizontal="center" readingOrder="0"/>
    </dxf>
    <dxf>
      <font>
        <sz val="11"/>
      </font>
    </dxf>
    <dxf>
      <fill>
        <patternFill patternType="solid">
          <bgColor theme="3"/>
        </patternFill>
      </fill>
    </dxf>
    <dxf>
      <font>
        <color theme="0"/>
      </font>
    </dxf>
    <dxf>
      <font>
        <sz val="11"/>
      </font>
    </dxf>
    <dxf>
      <alignment vertical="center" readingOrder="0"/>
    </dxf>
    <dxf>
      <alignment vertical="center" readingOrder="0"/>
    </dxf>
    <dxf>
      <font>
        <b/>
      </font>
    </dxf>
    <dxf>
      <font>
        <sz val="14"/>
      </font>
    </dxf>
    <dxf>
      <numFmt numFmtId="164" formatCode="_-[$$-409]\ \ * #,##0.00_ ;_-[$$-409]* \-#,##0.00\ ;_-[$$-409]* &quot;-&quot;??_ ;_-@_ "/>
    </dxf>
    <dxf>
      <font>
        <b/>
      </font>
    </dxf>
    <dxf>
      <font>
        <sz val="12"/>
      </font>
    </dxf>
    <dxf>
      <fill>
        <patternFill>
          <bgColor theme="3" tint="-0.499984740745262"/>
        </patternFill>
      </fill>
    </dxf>
    <dxf>
      <fill>
        <patternFill patternType="solid">
          <bgColor theme="4" tint="0.79998168889431442"/>
        </patternFill>
      </fill>
    </dxf>
    <dxf>
      <alignment horizontal="general" readingOrder="0"/>
    </dxf>
    <dxf>
      <alignment vertical="center" readingOrder="0"/>
    </dxf>
    <dxf>
      <alignment horizontal="center" readingOrder="0"/>
    </dxf>
    <dxf>
      <fill>
        <patternFill>
          <bgColor theme="3" tint="-0.499984740745262"/>
        </patternFill>
      </fill>
    </dxf>
    <dxf>
      <fill>
        <patternFill>
          <bgColor theme="0"/>
        </patternFill>
      </fill>
    </dxf>
    <dxf>
      <font>
        <color theme="3" tint="-0.499984740745262"/>
      </font>
    </dxf>
    <dxf>
      <font>
        <color theme="0"/>
      </font>
    </dxf>
    <dxf>
      <fill>
        <patternFill>
          <bgColor theme="4" tint="0.79998168889431442"/>
        </patternFill>
      </fill>
    </dxf>
    <dxf>
      <font>
        <color auto="1"/>
      </font>
    </dxf>
    <dxf>
      <fill>
        <patternFill>
          <bgColor theme="0"/>
        </patternFill>
      </fill>
    </dxf>
    <dxf>
      <fill>
        <patternFill>
          <bgColor theme="3" tint="-0.499984740745262"/>
        </patternFill>
      </fill>
    </dxf>
    <dxf>
      <font>
        <color theme="0"/>
      </font>
    </dxf>
    <dxf>
      <fill>
        <patternFill>
          <bgColor theme="2"/>
        </patternFill>
      </fill>
    </dxf>
    <dxf>
      <font>
        <color theme="3" tint="-0.499984740745262"/>
      </font>
    </dxf>
    <dxf>
      <fill>
        <patternFill patternType="solid">
          <bgColor theme="4"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0" tint="-0.34998626667073579"/>
        </patternFill>
      </fill>
    </dxf>
    <dxf>
      <font>
        <color theme="2" tint="-0.89999084444715716"/>
      </font>
    </dxf>
    <dxf>
      <fill>
        <patternFill>
          <bgColor theme="0"/>
        </patternFill>
      </fill>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indexed="64"/>
        </left>
        <right style="thin">
          <color indexed="64"/>
        </right>
        <top style="thin">
          <color indexed="64"/>
        </top>
        <bottom style="thin">
          <color indexed="64"/>
        </bottom>
      </border>
    </dxf>
    <dxf>
      <font>
        <sz val="12"/>
      </font>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vertical="center" readingOrder="0"/>
    </dxf>
    <dxf>
      <alignment horizontal="center" readingOrder="0"/>
    </dxf>
    <dxf>
      <fill>
        <patternFill patternType="solid">
          <bgColor theme="3"/>
        </patternFill>
      </fill>
    </dxf>
    <dxf>
      <font>
        <color theme="0"/>
      </font>
    </dxf>
    <dxf>
      <numFmt numFmtId="172" formatCode="[$$-409]\ \ \ \ \ \ \ \ \ \ \ \ \ \ \ \ \ \ \ #,##0.00"/>
    </dxf>
    <dxf>
      <font>
        <b/>
      </font>
    </dxf>
    <dxf>
      <font>
        <sz val="12"/>
      </font>
    </dxf>
    <dxf>
      <numFmt numFmtId="171" formatCode="[$$-409]\ \ \ \ \ \ \ \ \ \ \ \ \ \ \ #,##0.00"/>
    </dxf>
    <dxf>
      <fill>
        <patternFill patternType="solid">
          <bgColor theme="4" tint="0.79998168889431442"/>
        </patternFill>
      </fill>
    </dxf>
    <dxf>
      <alignment horizontal="general" readingOrder="0"/>
    </dxf>
    <dxf>
      <alignment vertical="center" readingOrder="0"/>
    </dxf>
    <dxf>
      <numFmt numFmtId="165" formatCode="_-[$$-409]* #,##0.00_ ;_-[$$-409]* \-#,##0.00\ ;_-[$$-409]* &quot;-&quot;??_ ;_-@_ "/>
    </dxf>
    <dxf>
      <fill>
        <patternFill>
          <bgColor theme="3" tint="-0.499984740745262"/>
        </patternFill>
      </fill>
    </dxf>
    <dxf>
      <fill>
        <patternFill>
          <bgColor theme="1" tint="0.499984740745262"/>
        </patternFill>
      </fill>
    </dxf>
    <dxf>
      <fill>
        <patternFill>
          <bgColor theme="3" tint="0.79998168889431442"/>
        </patternFill>
      </fill>
    </dxf>
    <dxf>
      <font>
        <color auto="1"/>
      </font>
    </dxf>
    <dxf>
      <fill>
        <patternFill>
          <bgColor theme="0"/>
        </patternFill>
      </fill>
    </dxf>
    <dxf>
      <fill>
        <patternFill>
          <bgColor theme="2"/>
        </patternFill>
      </fill>
    </dxf>
    <dxf>
      <font>
        <color theme="3" tint="-0.499984740745262"/>
      </font>
    </dxf>
    <dxf>
      <font>
        <color theme="0"/>
      </font>
    </dxf>
    <dxf>
      <fill>
        <patternFill patternType="solid">
          <bgColor theme="4" tint="0.79998168889431442"/>
        </patternFill>
      </fill>
    </dxf>
    <dxf>
      <fill>
        <patternFill>
          <bgColor theme="4" tint="0.59999389629810485"/>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ont>
        <color theme="2" tint="-0.89999084444715716"/>
      </font>
    </dxf>
    <dxf>
      <fill>
        <patternFill>
          <bgColor theme="3" tint="-0.499984740745262"/>
        </patternFill>
      </fill>
    </dxf>
    <dxf>
      <fill>
        <patternFill>
          <bgColor theme="0"/>
        </patternFill>
      </fill>
    </dxf>
    <dxf>
      <font>
        <sz val="14"/>
      </font>
    </dxf>
    <dxf>
      <border>
        <left/>
        <right/>
        <top/>
      </border>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numFmt numFmtId="168" formatCode="[$$-409]#,\K"/>
    </dxf>
    <dxf>
      <numFmt numFmtId="1" formatCode="0"/>
    </dxf>
    <dxf>
      <numFmt numFmtId="1" formatCode="0"/>
    </dxf>
    <dxf>
      <numFmt numFmtId="168" formatCode="[$$-409]#,\K"/>
    </dxf>
    <dxf>
      <numFmt numFmtId="14" formatCode="0.00%"/>
    </dxf>
    <dxf>
      <numFmt numFmtId="168" formatCode="[$$-409]#,\K"/>
    </dxf>
    <dxf>
      <numFmt numFmtId="168" formatCode="[$$-409]#,\K"/>
    </dxf>
    <dxf>
      <numFmt numFmtId="168" formatCode="[$$-409]#,\K"/>
    </dxf>
    <dxf>
      <font>
        <color theme="1" tint="4.9989318521683403E-2"/>
      </font>
    </dxf>
    <dxf>
      <font>
        <color theme="1" tint="4.9989318521683403E-2"/>
      </font>
    </dxf>
    <dxf>
      <numFmt numFmtId="168" formatCode="[$$-409]#,\K"/>
    </dxf>
    <dxf>
      <numFmt numFmtId="170" formatCode="[$$-409]#,##0_ ;\-[$$-409]#,##0\ "/>
    </dxf>
    <dxf>
      <font>
        <b/>
      </font>
    </dxf>
    <dxf>
      <numFmt numFmtId="14" formatCode="0.00%"/>
    </dxf>
    <dxf>
      <font>
        <b val="0"/>
      </font>
    </dxf>
    <dxf>
      <font>
        <color theme="1" tint="4.9989318521683403E-2"/>
      </font>
    </dxf>
    <dxf>
      <numFmt numFmtId="1" formatCode="0"/>
    </dxf>
    <dxf>
      <font>
        <color theme="1" tint="4.9989318521683403E-2"/>
      </font>
    </dxf>
    <dxf>
      <numFmt numFmtId="168" formatCode="[$$-409]#,\K"/>
    </dxf>
    <dxf>
      <numFmt numFmtId="14" formatCode="0.00%"/>
    </dxf>
    <dxf>
      <numFmt numFmtId="168" formatCode="[$$-409]#,\K"/>
    </dxf>
    <dxf>
      <numFmt numFmtId="168" formatCode="[$$-409]#,\K"/>
    </dxf>
    <dxf>
      <numFmt numFmtId="168" formatCode="[$$-409]#,\K"/>
    </dxf>
    <dxf>
      <alignment horizontal="center" readingOrder="0"/>
    </dxf>
    <dxf>
      <alignment horizontal="center" readingOrder="0"/>
    </dxf>
    <dxf>
      <font>
        <color theme="0"/>
      </font>
    </dxf>
    <dxf>
      <fill>
        <patternFill patternType="solid">
          <bgColor theme="3" tint="-0.499984740745262"/>
        </patternFill>
      </fill>
    </dxf>
    <dxf>
      <font>
        <b/>
      </font>
    </dxf>
    <dxf>
      <font>
        <sz val="12"/>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ill>
        <patternFill>
          <bgColor theme="1" tint="0.499984740745262"/>
        </patternFill>
      </fill>
    </dxf>
    <dxf>
      <font>
        <color theme="0"/>
      </font>
    </dxf>
    <dxf>
      <fill>
        <patternFill>
          <bgColor theme="3" tint="0.79998168889431442"/>
        </patternFill>
      </fill>
    </dxf>
    <dxf>
      <fill>
        <patternFill>
          <bgColor theme="0"/>
        </patternFill>
      </fill>
    </dxf>
    <dxf>
      <font>
        <color theme="0"/>
      </font>
    </dxf>
    <dxf>
      <fill>
        <patternFill>
          <bgColor theme="2"/>
        </patternFill>
      </fill>
    </dxf>
    <dxf>
      <font>
        <color auto="1"/>
      </font>
    </dxf>
    <dxf>
      <fill>
        <patternFill patternType="solid">
          <bgColor theme="4" tint="0.79998168889431442"/>
        </patternFill>
      </fill>
    </dxf>
    <dxf>
      <fill>
        <patternFill>
          <bgColor theme="3"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ont>
        <color theme="2" tint="-0.89999084444715716"/>
      </font>
    </dxf>
    <dxf>
      <fill>
        <patternFill>
          <bgColor theme="0"/>
        </patternFill>
      </fill>
    </dxf>
    <dxf>
      <alignment vertical="center" readingOrder="0"/>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fill>
        <patternFill patternType="solid">
          <bgColor theme="3" tint="-0.499984740745262"/>
        </patternFill>
      </fill>
    </dxf>
    <dxf>
      <font>
        <color theme="0"/>
      </font>
    </dxf>
    <dxf>
      <font>
        <sz val="12"/>
      </font>
    </dxf>
    <dxf>
      <alignment horizontal="center" readingOrder="0"/>
    </dxf>
    <dxf>
      <font>
        <b/>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ont>
        <color theme="0"/>
      </font>
    </dxf>
    <dxf>
      <fill>
        <patternFill>
          <bgColor theme="3" tint="0.79998168889431442"/>
        </patternFill>
      </fill>
    </dxf>
    <dxf>
      <fill>
        <patternFill patternType="solid">
          <bgColor theme="4" tint="0.79998168889431442"/>
        </patternFill>
      </fill>
    </dxf>
    <dxf>
      <font>
        <color theme="3" tint="-0.499984740745262"/>
      </font>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ill>
        <patternFill>
          <bgColor theme="0" tint="-0.34998626667073579"/>
        </patternFill>
      </fill>
    </dxf>
    <dxf>
      <font>
        <color theme="2" tint="-0.89999084444715716"/>
      </font>
    </dxf>
    <dxf>
      <fill>
        <patternFill>
          <bgColor theme="0"/>
        </patternFill>
      </fill>
    </dxf>
    <dxf>
      <alignment vertical="center" readingOrder="0"/>
    </dxf>
    <dxf>
      <font>
        <sz val="14"/>
      </font>
    </dxf>
    <dxf>
      <font>
        <sz val="16"/>
      </font>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alignment horizontal="center" readingOrder="0"/>
    </dxf>
    <dxf>
      <font>
        <sz val="11"/>
      </font>
    </dxf>
    <dxf>
      <fill>
        <patternFill patternType="solid">
          <bgColor theme="3"/>
        </patternFill>
      </fill>
    </dxf>
    <dxf>
      <font>
        <color theme="0"/>
      </font>
    </dxf>
    <dxf>
      <font>
        <sz val="11"/>
      </font>
    </dxf>
    <dxf>
      <alignment vertical="center" readingOrder="0"/>
    </dxf>
    <dxf>
      <alignment vertical="center" readingOrder="0"/>
    </dxf>
    <dxf>
      <font>
        <b/>
      </font>
    </dxf>
    <dxf>
      <font>
        <sz val="14"/>
      </font>
    </dxf>
    <dxf>
      <numFmt numFmtId="164" formatCode="_-[$$-409]\ \ * #,##0.00_ ;_-[$$-409]* \-#,##0.00\ ;_-[$$-409]* &quot;-&quot;??_ ;_-@_ "/>
    </dxf>
    <dxf>
      <font>
        <b/>
      </font>
    </dxf>
    <dxf>
      <font>
        <sz val="12"/>
      </font>
    </dxf>
    <dxf>
      <fill>
        <patternFill>
          <bgColor theme="3" tint="-0.499984740745262"/>
        </patternFill>
      </fill>
    </dxf>
    <dxf>
      <fill>
        <patternFill patternType="solid">
          <bgColor theme="4" tint="0.79998168889431442"/>
        </patternFill>
      </fill>
    </dxf>
    <dxf>
      <alignment horizontal="general" readingOrder="0"/>
    </dxf>
    <dxf>
      <alignment vertical="center" readingOrder="0"/>
    </dxf>
    <dxf>
      <alignment horizontal="center" readingOrder="0"/>
    </dxf>
    <dxf>
      <fill>
        <patternFill>
          <bgColor theme="3" tint="-0.499984740745262"/>
        </patternFill>
      </fill>
    </dxf>
    <dxf>
      <fill>
        <patternFill>
          <bgColor theme="0"/>
        </patternFill>
      </fill>
    </dxf>
    <dxf>
      <font>
        <color theme="3" tint="-0.499984740745262"/>
      </font>
    </dxf>
    <dxf>
      <font>
        <color theme="0"/>
      </font>
    </dxf>
    <dxf>
      <fill>
        <patternFill>
          <bgColor theme="4" tint="0.79998168889431442"/>
        </patternFill>
      </fill>
    </dxf>
    <dxf>
      <font>
        <color auto="1"/>
      </font>
    </dxf>
    <dxf>
      <fill>
        <patternFill>
          <bgColor theme="0"/>
        </patternFill>
      </fill>
    </dxf>
    <dxf>
      <fill>
        <patternFill>
          <bgColor theme="3" tint="-0.499984740745262"/>
        </patternFill>
      </fill>
    </dxf>
    <dxf>
      <font>
        <color theme="0"/>
      </font>
    </dxf>
    <dxf>
      <fill>
        <patternFill>
          <bgColor theme="2"/>
        </patternFill>
      </fill>
    </dxf>
    <dxf>
      <font>
        <color theme="3" tint="-0.499984740745262"/>
      </font>
    </dxf>
    <dxf>
      <fill>
        <patternFill patternType="solid">
          <bgColor theme="4"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0" tint="-0.34998626667073579"/>
        </patternFill>
      </fill>
    </dxf>
    <dxf>
      <font>
        <color theme="2" tint="-0.89999084444715716"/>
      </font>
    </dxf>
    <dxf>
      <fill>
        <patternFill>
          <bgColor theme="0"/>
        </patternFill>
      </fill>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indexed="64"/>
        </left>
        <right style="thin">
          <color indexed="64"/>
        </right>
        <top style="thin">
          <color indexed="64"/>
        </top>
        <bottom style="thin">
          <color indexed="64"/>
        </bottom>
      </border>
    </dxf>
    <dxf>
      <font>
        <sz val="12"/>
      </font>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vertical="center" readingOrder="0"/>
    </dxf>
    <dxf>
      <alignment horizontal="center" readingOrder="0"/>
    </dxf>
    <dxf>
      <fill>
        <patternFill patternType="solid">
          <bgColor theme="3"/>
        </patternFill>
      </fill>
    </dxf>
    <dxf>
      <font>
        <color theme="0"/>
      </font>
    </dxf>
    <dxf>
      <numFmt numFmtId="172" formatCode="[$$-409]\ \ \ \ \ \ \ \ \ \ \ \ \ \ \ \ \ \ \ #,##0.00"/>
    </dxf>
    <dxf>
      <font>
        <b/>
      </font>
    </dxf>
    <dxf>
      <font>
        <sz val="12"/>
      </font>
    </dxf>
    <dxf>
      <numFmt numFmtId="171" formatCode="[$$-409]\ \ \ \ \ \ \ \ \ \ \ \ \ \ \ #,##0.00"/>
    </dxf>
    <dxf>
      <fill>
        <patternFill patternType="solid">
          <bgColor theme="4" tint="0.79998168889431442"/>
        </patternFill>
      </fill>
    </dxf>
    <dxf>
      <alignment horizontal="general" readingOrder="0"/>
    </dxf>
    <dxf>
      <alignment vertical="center" readingOrder="0"/>
    </dxf>
    <dxf>
      <numFmt numFmtId="165" formatCode="_-[$$-409]* #,##0.00_ ;_-[$$-409]* \-#,##0.00\ ;_-[$$-409]* &quot;-&quot;??_ ;_-@_ "/>
    </dxf>
    <dxf>
      <fill>
        <patternFill>
          <bgColor theme="3" tint="-0.499984740745262"/>
        </patternFill>
      </fill>
    </dxf>
    <dxf>
      <fill>
        <patternFill>
          <bgColor theme="1" tint="0.499984740745262"/>
        </patternFill>
      </fill>
    </dxf>
    <dxf>
      <fill>
        <patternFill>
          <bgColor theme="3" tint="0.79998168889431442"/>
        </patternFill>
      </fill>
    </dxf>
    <dxf>
      <font>
        <color auto="1"/>
      </font>
    </dxf>
    <dxf>
      <fill>
        <patternFill>
          <bgColor theme="0"/>
        </patternFill>
      </fill>
    </dxf>
    <dxf>
      <fill>
        <patternFill>
          <bgColor theme="2"/>
        </patternFill>
      </fill>
    </dxf>
    <dxf>
      <font>
        <color theme="3" tint="-0.499984740745262"/>
      </font>
    </dxf>
    <dxf>
      <font>
        <color theme="0"/>
      </font>
    </dxf>
    <dxf>
      <fill>
        <patternFill patternType="solid">
          <bgColor theme="4" tint="0.79998168889431442"/>
        </patternFill>
      </fill>
    </dxf>
    <dxf>
      <fill>
        <patternFill>
          <bgColor theme="4" tint="0.59999389629810485"/>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ont>
        <color theme="2" tint="-0.89999084444715716"/>
      </font>
    </dxf>
    <dxf>
      <fill>
        <patternFill>
          <bgColor theme="3" tint="-0.499984740745262"/>
        </patternFill>
      </fill>
    </dxf>
    <dxf>
      <fill>
        <patternFill>
          <bgColor theme="0"/>
        </patternFill>
      </fill>
    </dxf>
    <dxf>
      <font>
        <sz val="14"/>
      </font>
    </dxf>
    <dxf>
      <border>
        <left/>
        <right/>
        <top/>
      </border>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numFmt numFmtId="168" formatCode="[$$-409]#,\K"/>
    </dxf>
    <dxf>
      <numFmt numFmtId="1" formatCode="0"/>
    </dxf>
    <dxf>
      <numFmt numFmtId="1" formatCode="0"/>
    </dxf>
    <dxf>
      <numFmt numFmtId="168" formatCode="[$$-409]#,\K"/>
    </dxf>
    <dxf>
      <numFmt numFmtId="14" formatCode="0.00%"/>
    </dxf>
    <dxf>
      <numFmt numFmtId="168" formatCode="[$$-409]#,\K"/>
    </dxf>
    <dxf>
      <numFmt numFmtId="168" formatCode="[$$-409]#,\K"/>
    </dxf>
    <dxf>
      <numFmt numFmtId="168" formatCode="[$$-409]#,\K"/>
    </dxf>
    <dxf>
      <font>
        <color theme="1" tint="4.9989318521683403E-2"/>
      </font>
    </dxf>
    <dxf>
      <font>
        <color theme="1" tint="4.9989318521683403E-2"/>
      </font>
    </dxf>
    <dxf>
      <numFmt numFmtId="168" formatCode="[$$-409]#,\K"/>
    </dxf>
    <dxf>
      <numFmt numFmtId="170" formatCode="[$$-409]#,##0_ ;\-[$$-409]#,##0\ "/>
    </dxf>
    <dxf>
      <font>
        <b/>
      </font>
    </dxf>
    <dxf>
      <numFmt numFmtId="14" formatCode="0.00%"/>
    </dxf>
    <dxf>
      <font>
        <b val="0"/>
      </font>
    </dxf>
    <dxf>
      <font>
        <color theme="1" tint="4.9989318521683403E-2"/>
      </font>
    </dxf>
    <dxf>
      <numFmt numFmtId="1" formatCode="0"/>
    </dxf>
    <dxf>
      <font>
        <color theme="1" tint="4.9989318521683403E-2"/>
      </font>
    </dxf>
    <dxf>
      <numFmt numFmtId="168" formatCode="[$$-409]#,\K"/>
    </dxf>
    <dxf>
      <numFmt numFmtId="14" formatCode="0.00%"/>
    </dxf>
    <dxf>
      <numFmt numFmtId="168" formatCode="[$$-409]#,\K"/>
    </dxf>
    <dxf>
      <numFmt numFmtId="168" formatCode="[$$-409]#,\K"/>
    </dxf>
    <dxf>
      <numFmt numFmtId="168" formatCode="[$$-409]#,\K"/>
    </dxf>
    <dxf>
      <alignment horizontal="center" readingOrder="0"/>
    </dxf>
    <dxf>
      <alignment horizontal="center" readingOrder="0"/>
    </dxf>
    <dxf>
      <font>
        <color theme="0"/>
      </font>
    </dxf>
    <dxf>
      <fill>
        <patternFill patternType="solid">
          <bgColor theme="3" tint="-0.499984740745262"/>
        </patternFill>
      </fill>
    </dxf>
    <dxf>
      <font>
        <b/>
      </font>
    </dxf>
    <dxf>
      <font>
        <sz val="12"/>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ill>
        <patternFill>
          <bgColor theme="1" tint="0.499984740745262"/>
        </patternFill>
      </fill>
    </dxf>
    <dxf>
      <font>
        <color theme="0"/>
      </font>
    </dxf>
    <dxf>
      <fill>
        <patternFill>
          <bgColor theme="3" tint="0.79998168889431442"/>
        </patternFill>
      </fill>
    </dxf>
    <dxf>
      <fill>
        <patternFill>
          <bgColor theme="0"/>
        </patternFill>
      </fill>
    </dxf>
    <dxf>
      <font>
        <color theme="0"/>
      </font>
    </dxf>
    <dxf>
      <fill>
        <patternFill>
          <bgColor theme="2"/>
        </patternFill>
      </fill>
    </dxf>
    <dxf>
      <font>
        <color auto="1"/>
      </font>
    </dxf>
    <dxf>
      <fill>
        <patternFill patternType="solid">
          <bgColor theme="4" tint="0.79998168889431442"/>
        </patternFill>
      </fill>
    </dxf>
    <dxf>
      <fill>
        <patternFill>
          <bgColor theme="3"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ont>
        <color theme="2" tint="-0.89999084444715716"/>
      </font>
    </dxf>
    <dxf>
      <fill>
        <patternFill>
          <bgColor theme="0"/>
        </patternFill>
      </fill>
    </dxf>
    <dxf>
      <alignment vertical="center" readingOrder="0"/>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fill>
        <patternFill patternType="solid">
          <bgColor theme="3" tint="-0.499984740745262"/>
        </patternFill>
      </fill>
    </dxf>
    <dxf>
      <font>
        <color theme="0"/>
      </font>
    </dxf>
    <dxf>
      <font>
        <sz val="12"/>
      </font>
    </dxf>
    <dxf>
      <alignment horizontal="center" readingOrder="0"/>
    </dxf>
    <dxf>
      <font>
        <b/>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ont>
        <color theme="0"/>
      </font>
    </dxf>
    <dxf>
      <fill>
        <patternFill>
          <bgColor theme="3" tint="0.79998168889431442"/>
        </patternFill>
      </fill>
    </dxf>
    <dxf>
      <fill>
        <patternFill patternType="solid">
          <bgColor theme="4" tint="0.79998168889431442"/>
        </patternFill>
      </fill>
    </dxf>
    <dxf>
      <font>
        <color theme="3" tint="-0.499984740745262"/>
      </font>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ill>
        <patternFill>
          <bgColor theme="0" tint="-0.34998626667073579"/>
        </patternFill>
      </fill>
    </dxf>
    <dxf>
      <font>
        <color theme="2" tint="-0.89999084444715716"/>
      </font>
    </dxf>
    <dxf>
      <fill>
        <patternFill>
          <bgColor theme="0"/>
        </patternFill>
      </fill>
    </dxf>
    <dxf>
      <alignment vertical="center" readingOrder="0"/>
    </dxf>
    <dxf>
      <font>
        <sz val="14"/>
      </font>
    </dxf>
    <dxf>
      <font>
        <sz val="16"/>
      </font>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alignment horizontal="center" readingOrder="0"/>
    </dxf>
    <dxf>
      <font>
        <sz val="11"/>
      </font>
    </dxf>
    <dxf>
      <fill>
        <patternFill patternType="solid">
          <bgColor theme="3"/>
        </patternFill>
      </fill>
    </dxf>
    <dxf>
      <font>
        <color theme="0"/>
      </font>
    </dxf>
    <dxf>
      <font>
        <sz val="11"/>
      </font>
    </dxf>
    <dxf>
      <alignment vertical="center" readingOrder="0"/>
    </dxf>
    <dxf>
      <alignment vertical="center" readingOrder="0"/>
    </dxf>
    <dxf>
      <font>
        <b/>
      </font>
    </dxf>
    <dxf>
      <font>
        <sz val="14"/>
      </font>
    </dxf>
    <dxf>
      <numFmt numFmtId="164" formatCode="_-[$$-409]\ \ * #,##0.00_ ;_-[$$-409]* \-#,##0.00\ ;_-[$$-409]* &quot;-&quot;??_ ;_-@_ "/>
    </dxf>
    <dxf>
      <font>
        <b/>
      </font>
    </dxf>
    <dxf>
      <font>
        <sz val="12"/>
      </font>
    </dxf>
    <dxf>
      <fill>
        <patternFill>
          <bgColor theme="3" tint="-0.499984740745262"/>
        </patternFill>
      </fill>
    </dxf>
    <dxf>
      <fill>
        <patternFill patternType="solid">
          <bgColor theme="4" tint="0.79998168889431442"/>
        </patternFill>
      </fill>
    </dxf>
    <dxf>
      <alignment horizontal="general" readingOrder="0"/>
    </dxf>
    <dxf>
      <alignment vertical="center" readingOrder="0"/>
    </dxf>
    <dxf>
      <alignment horizontal="center" readingOrder="0"/>
    </dxf>
    <dxf>
      <fill>
        <patternFill>
          <bgColor theme="3" tint="-0.499984740745262"/>
        </patternFill>
      </fill>
    </dxf>
    <dxf>
      <fill>
        <patternFill>
          <bgColor theme="0"/>
        </patternFill>
      </fill>
    </dxf>
    <dxf>
      <font>
        <color theme="3" tint="-0.499984740745262"/>
      </font>
    </dxf>
    <dxf>
      <font>
        <color theme="0"/>
      </font>
    </dxf>
    <dxf>
      <fill>
        <patternFill>
          <bgColor theme="4" tint="0.79998168889431442"/>
        </patternFill>
      </fill>
    </dxf>
    <dxf>
      <font>
        <color auto="1"/>
      </font>
    </dxf>
    <dxf>
      <fill>
        <patternFill>
          <bgColor theme="0"/>
        </patternFill>
      </fill>
    </dxf>
    <dxf>
      <fill>
        <patternFill>
          <bgColor theme="3" tint="-0.499984740745262"/>
        </patternFill>
      </fill>
    </dxf>
    <dxf>
      <font>
        <color theme="0"/>
      </font>
    </dxf>
    <dxf>
      <fill>
        <patternFill>
          <bgColor theme="2"/>
        </patternFill>
      </fill>
    </dxf>
    <dxf>
      <font>
        <color theme="3" tint="-0.499984740745262"/>
      </font>
    </dxf>
    <dxf>
      <fill>
        <patternFill patternType="solid">
          <bgColor theme="4"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0" tint="-0.34998626667073579"/>
        </patternFill>
      </fill>
    </dxf>
    <dxf>
      <font>
        <color theme="2" tint="-0.89999084444715716"/>
      </font>
    </dxf>
    <dxf>
      <fill>
        <patternFill>
          <bgColor theme="0"/>
        </patternFill>
      </fill>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indexed="64"/>
        </left>
        <right style="thin">
          <color indexed="64"/>
        </right>
        <top style="thin">
          <color indexed="64"/>
        </top>
        <bottom style="thin">
          <color indexed="64"/>
        </bottom>
      </border>
    </dxf>
    <dxf>
      <font>
        <sz val="12"/>
      </font>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vertical="center" readingOrder="0"/>
    </dxf>
    <dxf>
      <alignment horizontal="center" readingOrder="0"/>
    </dxf>
    <dxf>
      <fill>
        <patternFill patternType="solid">
          <bgColor theme="3"/>
        </patternFill>
      </fill>
    </dxf>
    <dxf>
      <font>
        <color theme="0"/>
      </font>
    </dxf>
    <dxf>
      <numFmt numFmtId="172" formatCode="[$$-409]\ \ \ \ \ \ \ \ \ \ \ \ \ \ \ \ \ \ \ #,##0.00"/>
    </dxf>
    <dxf>
      <font>
        <b/>
      </font>
    </dxf>
    <dxf>
      <font>
        <sz val="12"/>
      </font>
    </dxf>
    <dxf>
      <numFmt numFmtId="171" formatCode="[$$-409]\ \ \ \ \ \ \ \ \ \ \ \ \ \ \ #,##0.00"/>
    </dxf>
    <dxf>
      <fill>
        <patternFill patternType="solid">
          <bgColor theme="4" tint="0.79998168889431442"/>
        </patternFill>
      </fill>
    </dxf>
    <dxf>
      <alignment horizontal="general" readingOrder="0"/>
    </dxf>
    <dxf>
      <alignment vertical="center" readingOrder="0"/>
    </dxf>
    <dxf>
      <numFmt numFmtId="165" formatCode="_-[$$-409]* #,##0.00_ ;_-[$$-409]* \-#,##0.00\ ;_-[$$-409]* &quot;-&quot;??_ ;_-@_ "/>
    </dxf>
    <dxf>
      <fill>
        <patternFill>
          <bgColor theme="3" tint="-0.499984740745262"/>
        </patternFill>
      </fill>
    </dxf>
    <dxf>
      <fill>
        <patternFill>
          <bgColor theme="1" tint="0.499984740745262"/>
        </patternFill>
      </fill>
    </dxf>
    <dxf>
      <fill>
        <patternFill>
          <bgColor theme="3" tint="0.79998168889431442"/>
        </patternFill>
      </fill>
    </dxf>
    <dxf>
      <font>
        <color auto="1"/>
      </font>
    </dxf>
    <dxf>
      <fill>
        <patternFill>
          <bgColor theme="0"/>
        </patternFill>
      </fill>
    </dxf>
    <dxf>
      <fill>
        <patternFill>
          <bgColor theme="2"/>
        </patternFill>
      </fill>
    </dxf>
    <dxf>
      <font>
        <color theme="3" tint="-0.499984740745262"/>
      </font>
    </dxf>
    <dxf>
      <font>
        <color theme="0"/>
      </font>
    </dxf>
    <dxf>
      <fill>
        <patternFill patternType="solid">
          <bgColor theme="4" tint="0.79998168889431442"/>
        </patternFill>
      </fill>
    </dxf>
    <dxf>
      <fill>
        <patternFill>
          <bgColor theme="4" tint="0.59999389629810485"/>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ont>
        <color theme="2" tint="-0.89999084444715716"/>
      </font>
    </dxf>
    <dxf>
      <fill>
        <patternFill>
          <bgColor theme="3" tint="-0.499984740745262"/>
        </patternFill>
      </fill>
    </dxf>
    <dxf>
      <fill>
        <patternFill>
          <bgColor theme="0"/>
        </patternFill>
      </fill>
    </dxf>
    <dxf>
      <font>
        <sz val="14"/>
      </font>
    </dxf>
    <dxf>
      <border>
        <left/>
        <right/>
        <top/>
      </border>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numFmt numFmtId="168" formatCode="[$$-409]#,\K"/>
    </dxf>
    <dxf>
      <numFmt numFmtId="1" formatCode="0"/>
    </dxf>
    <dxf>
      <numFmt numFmtId="1" formatCode="0"/>
    </dxf>
    <dxf>
      <numFmt numFmtId="168" formatCode="[$$-409]#,\K"/>
    </dxf>
    <dxf>
      <font>
        <color theme="1" tint="4.9989318521683403E-2"/>
      </font>
    </dxf>
    <dxf>
      <font>
        <color theme="1" tint="4.9989318521683403E-2"/>
      </font>
    </dxf>
    <dxf>
      <numFmt numFmtId="168" formatCode="[$$-409]#,\K"/>
    </dxf>
    <dxf>
      <numFmt numFmtId="170" formatCode="[$$-409]#,##0_ ;\-[$$-409]#,##0\ "/>
    </dxf>
    <dxf>
      <font>
        <b/>
      </font>
    </dxf>
    <dxf>
      <numFmt numFmtId="14" formatCode="0.00%"/>
    </dxf>
    <dxf>
      <font>
        <b val="0"/>
      </font>
    </dxf>
    <dxf>
      <font>
        <color theme="1" tint="4.9989318521683403E-2"/>
      </font>
    </dxf>
    <dxf>
      <numFmt numFmtId="1" formatCode="0"/>
    </dxf>
    <dxf>
      <font>
        <color theme="1" tint="4.9989318521683403E-2"/>
      </font>
    </dxf>
    <dxf>
      <numFmt numFmtId="168" formatCode="[$$-409]#,\K"/>
    </dxf>
    <dxf>
      <numFmt numFmtId="14" formatCode="0.00%"/>
    </dxf>
    <dxf>
      <numFmt numFmtId="168" formatCode="[$$-409]#,\K"/>
    </dxf>
    <dxf>
      <numFmt numFmtId="14" formatCode="0.00%"/>
    </dxf>
    <dxf>
      <numFmt numFmtId="168" formatCode="[$$-409]#,\K"/>
    </dxf>
    <dxf>
      <numFmt numFmtId="168" formatCode="[$$-409]#,\K"/>
    </dxf>
    <dxf>
      <numFmt numFmtId="168" formatCode="[$$-409]#,\K"/>
    </dxf>
    <dxf>
      <numFmt numFmtId="168" formatCode="[$$-409]#,\K"/>
    </dxf>
    <dxf>
      <numFmt numFmtId="168" formatCode="[$$-409]#,\K"/>
    </dxf>
    <dxf>
      <alignment horizontal="center" readingOrder="0"/>
    </dxf>
    <dxf>
      <alignment horizontal="center" readingOrder="0"/>
    </dxf>
    <dxf>
      <font>
        <color theme="0"/>
      </font>
    </dxf>
    <dxf>
      <fill>
        <patternFill patternType="solid">
          <bgColor theme="3" tint="-0.499984740745262"/>
        </patternFill>
      </fill>
    </dxf>
    <dxf>
      <font>
        <b/>
      </font>
    </dxf>
    <dxf>
      <font>
        <sz val="12"/>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ill>
        <patternFill>
          <bgColor theme="1" tint="0.499984740745262"/>
        </patternFill>
      </fill>
    </dxf>
    <dxf>
      <font>
        <color theme="0"/>
      </font>
    </dxf>
    <dxf>
      <fill>
        <patternFill>
          <bgColor theme="3" tint="0.79998168889431442"/>
        </patternFill>
      </fill>
    </dxf>
    <dxf>
      <fill>
        <patternFill>
          <bgColor theme="0"/>
        </patternFill>
      </fill>
    </dxf>
    <dxf>
      <font>
        <color theme="0"/>
      </font>
    </dxf>
    <dxf>
      <fill>
        <patternFill>
          <bgColor theme="2"/>
        </patternFill>
      </fill>
    </dxf>
    <dxf>
      <font>
        <color auto="1"/>
      </font>
    </dxf>
    <dxf>
      <fill>
        <patternFill patternType="solid">
          <bgColor theme="4" tint="0.79998168889431442"/>
        </patternFill>
      </fill>
    </dxf>
    <dxf>
      <fill>
        <patternFill>
          <bgColor theme="3"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ont>
        <color theme="2" tint="-0.89999084444715716"/>
      </font>
    </dxf>
    <dxf>
      <fill>
        <patternFill>
          <bgColor theme="0"/>
        </patternFill>
      </fill>
    </dxf>
    <dxf>
      <alignment vertical="center" readingOrder="0"/>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fill>
        <patternFill patternType="solid">
          <bgColor theme="3" tint="-0.499984740745262"/>
        </patternFill>
      </fill>
    </dxf>
    <dxf>
      <font>
        <color theme="0"/>
      </font>
    </dxf>
    <dxf>
      <font>
        <sz val="12"/>
      </font>
    </dxf>
    <dxf>
      <alignment horizontal="center" readingOrder="0"/>
    </dxf>
    <dxf>
      <font>
        <b/>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ont>
        <color theme="0"/>
      </font>
    </dxf>
    <dxf>
      <fill>
        <patternFill>
          <bgColor theme="3" tint="0.79998168889431442"/>
        </patternFill>
      </fill>
    </dxf>
    <dxf>
      <fill>
        <patternFill patternType="solid">
          <bgColor theme="4" tint="0.79998168889431442"/>
        </patternFill>
      </fill>
    </dxf>
    <dxf>
      <font>
        <color theme="3" tint="-0.499984740745262"/>
      </font>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ill>
        <patternFill>
          <bgColor theme="0" tint="-0.34998626667073579"/>
        </patternFill>
      </fill>
    </dxf>
    <dxf>
      <font>
        <color theme="2" tint="-0.89999084444715716"/>
      </font>
    </dxf>
    <dxf>
      <fill>
        <patternFill>
          <bgColor theme="0"/>
        </patternFill>
      </fill>
    </dxf>
    <dxf>
      <alignment vertical="center" readingOrder="0"/>
    </dxf>
    <dxf>
      <font>
        <sz val="14"/>
      </font>
    </dxf>
    <dxf>
      <font>
        <sz val="16"/>
      </font>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vertical="center" readingOrder="0"/>
    </dxf>
    <dxf>
      <alignment horizontal="center" readingOrder="0"/>
    </dxf>
    <dxf>
      <fill>
        <patternFill patternType="solid">
          <bgColor theme="3"/>
        </patternFill>
      </fill>
    </dxf>
    <dxf>
      <font>
        <color theme="0"/>
      </font>
    </dxf>
    <dxf>
      <numFmt numFmtId="172" formatCode="[$$-409]\ \ \ \ \ \ \ \ \ \ \ \ \ \ \ \ \ \ \ #,##0.00"/>
    </dxf>
    <dxf>
      <font>
        <b/>
      </font>
    </dxf>
    <dxf>
      <font>
        <sz val="12"/>
      </font>
    </dxf>
    <dxf>
      <numFmt numFmtId="171" formatCode="[$$-409]\ \ \ \ \ \ \ \ \ \ \ \ \ \ \ #,##0.00"/>
    </dxf>
    <dxf>
      <fill>
        <patternFill patternType="solid">
          <bgColor theme="4" tint="0.79998168889431442"/>
        </patternFill>
      </fill>
    </dxf>
    <dxf>
      <alignment horizontal="general" readingOrder="0"/>
    </dxf>
    <dxf>
      <alignment vertical="center" readingOrder="0"/>
    </dxf>
    <dxf>
      <numFmt numFmtId="165" formatCode="_-[$$-409]* #,##0.00_ ;_-[$$-409]* \-#,##0.00\ ;_-[$$-409]* &quot;-&quot;??_ ;_-@_ "/>
    </dxf>
    <dxf>
      <fill>
        <patternFill>
          <bgColor theme="3" tint="-0.499984740745262"/>
        </patternFill>
      </fill>
    </dxf>
    <dxf>
      <fill>
        <patternFill>
          <bgColor theme="1" tint="0.499984740745262"/>
        </patternFill>
      </fill>
    </dxf>
    <dxf>
      <fill>
        <patternFill>
          <bgColor theme="3" tint="0.79998168889431442"/>
        </patternFill>
      </fill>
    </dxf>
    <dxf>
      <font>
        <color auto="1"/>
      </font>
    </dxf>
    <dxf>
      <fill>
        <patternFill>
          <bgColor theme="0"/>
        </patternFill>
      </fill>
    </dxf>
    <dxf>
      <fill>
        <patternFill>
          <bgColor theme="2"/>
        </patternFill>
      </fill>
    </dxf>
    <dxf>
      <font>
        <color theme="3" tint="-0.499984740745262"/>
      </font>
    </dxf>
    <dxf>
      <font>
        <color theme="0"/>
      </font>
    </dxf>
    <dxf>
      <fill>
        <patternFill patternType="solid">
          <bgColor theme="4" tint="0.79998168889431442"/>
        </patternFill>
      </fill>
    </dxf>
    <dxf>
      <fill>
        <patternFill>
          <bgColor theme="4" tint="0.59999389629810485"/>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ont>
        <color theme="2" tint="-0.89999084444715716"/>
      </font>
    </dxf>
    <dxf>
      <fill>
        <patternFill>
          <bgColor theme="3" tint="-0.499984740745262"/>
        </patternFill>
      </fill>
    </dxf>
    <dxf>
      <fill>
        <patternFill>
          <bgColor theme="0"/>
        </patternFill>
      </fill>
    </dxf>
    <dxf>
      <font>
        <sz val="14"/>
      </font>
    </dxf>
    <dxf>
      <border>
        <left/>
        <right/>
        <top/>
      </border>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alignment horizontal="center" readingOrder="0"/>
    </dxf>
    <dxf>
      <font>
        <sz val="11"/>
      </font>
    </dxf>
    <dxf>
      <fill>
        <patternFill patternType="solid">
          <bgColor theme="3"/>
        </patternFill>
      </fill>
    </dxf>
    <dxf>
      <font>
        <color theme="0"/>
      </font>
    </dxf>
    <dxf>
      <font>
        <sz val="11"/>
      </font>
    </dxf>
    <dxf>
      <alignment vertical="center" readingOrder="0"/>
    </dxf>
    <dxf>
      <alignment vertical="center" readingOrder="0"/>
    </dxf>
    <dxf>
      <font>
        <b/>
      </font>
    </dxf>
    <dxf>
      <font>
        <sz val="14"/>
      </font>
    </dxf>
    <dxf>
      <numFmt numFmtId="164" formatCode="_-[$$-409]\ \ * #,##0.00_ ;_-[$$-409]* \-#,##0.00\ ;_-[$$-409]* &quot;-&quot;??_ ;_-@_ "/>
    </dxf>
    <dxf>
      <font>
        <b/>
      </font>
    </dxf>
    <dxf>
      <font>
        <sz val="12"/>
      </font>
    </dxf>
    <dxf>
      <fill>
        <patternFill>
          <bgColor theme="3" tint="-0.499984740745262"/>
        </patternFill>
      </fill>
    </dxf>
    <dxf>
      <fill>
        <patternFill patternType="solid">
          <bgColor theme="4" tint="0.79998168889431442"/>
        </patternFill>
      </fill>
    </dxf>
    <dxf>
      <alignment horizontal="general" readingOrder="0"/>
    </dxf>
    <dxf>
      <alignment vertical="center" readingOrder="0"/>
    </dxf>
    <dxf>
      <alignment horizontal="center" readingOrder="0"/>
    </dxf>
    <dxf>
      <fill>
        <patternFill>
          <bgColor theme="3" tint="-0.499984740745262"/>
        </patternFill>
      </fill>
    </dxf>
    <dxf>
      <fill>
        <patternFill>
          <bgColor theme="0"/>
        </patternFill>
      </fill>
    </dxf>
    <dxf>
      <font>
        <color theme="3" tint="-0.499984740745262"/>
      </font>
    </dxf>
    <dxf>
      <font>
        <color theme="0"/>
      </font>
    </dxf>
    <dxf>
      <fill>
        <patternFill>
          <bgColor theme="4" tint="0.79998168889431442"/>
        </patternFill>
      </fill>
    </dxf>
    <dxf>
      <font>
        <color auto="1"/>
      </font>
    </dxf>
    <dxf>
      <fill>
        <patternFill>
          <bgColor theme="0"/>
        </patternFill>
      </fill>
    </dxf>
    <dxf>
      <fill>
        <patternFill>
          <bgColor theme="3" tint="-0.499984740745262"/>
        </patternFill>
      </fill>
    </dxf>
    <dxf>
      <font>
        <color theme="0"/>
      </font>
    </dxf>
    <dxf>
      <fill>
        <patternFill>
          <bgColor theme="2"/>
        </patternFill>
      </fill>
    </dxf>
    <dxf>
      <font>
        <color theme="3" tint="-0.499984740745262"/>
      </font>
    </dxf>
    <dxf>
      <fill>
        <patternFill patternType="solid">
          <bgColor theme="4"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0" tint="-0.34998626667073579"/>
        </patternFill>
      </fill>
    </dxf>
    <dxf>
      <font>
        <color theme="2" tint="-0.89999084444715716"/>
      </font>
    </dxf>
    <dxf>
      <fill>
        <patternFill>
          <bgColor theme="0"/>
        </patternFill>
      </fill>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indexed="64"/>
        </left>
        <right style="thin">
          <color indexed="64"/>
        </right>
        <top style="thin">
          <color indexed="64"/>
        </top>
        <bottom style="thin">
          <color indexed="64"/>
        </bottom>
      </border>
    </dxf>
    <dxf>
      <font>
        <sz val="12"/>
      </font>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numFmt numFmtId="168" formatCode="[$$-409]#,\K"/>
    </dxf>
    <dxf>
      <numFmt numFmtId="14" formatCode="0.00%"/>
    </dxf>
    <dxf>
      <numFmt numFmtId="1" formatCode="0"/>
    </dxf>
    <dxf>
      <numFmt numFmtId="1" formatCode="0"/>
    </dxf>
    <dxf>
      <numFmt numFmtId="168" formatCode="[$$-409]#,\K"/>
    </dxf>
    <dxf>
      <numFmt numFmtId="14" formatCode="0.00%"/>
    </dxf>
    <dxf>
      <numFmt numFmtId="168" formatCode="[$$-409]#,\K"/>
    </dxf>
    <dxf>
      <numFmt numFmtId="168" formatCode="[$$-409]#,\K"/>
    </dxf>
    <dxf>
      <numFmt numFmtId="168" formatCode="[$$-409]#,\K"/>
    </dxf>
    <dxf>
      <font>
        <color theme="1" tint="4.9989318521683403E-2"/>
      </font>
    </dxf>
    <dxf>
      <font>
        <color theme="1" tint="4.9989318521683403E-2"/>
      </font>
    </dxf>
    <dxf>
      <numFmt numFmtId="168" formatCode="[$$-409]#,\K"/>
    </dxf>
    <dxf>
      <numFmt numFmtId="170" formatCode="[$$-409]#,##0_ ;\-[$$-409]#,##0\ "/>
    </dxf>
    <dxf>
      <font>
        <b/>
      </font>
    </dxf>
    <dxf>
      <numFmt numFmtId="14" formatCode="0.00%"/>
    </dxf>
    <dxf>
      <font>
        <b val="0"/>
      </font>
    </dxf>
    <dxf>
      <font>
        <color theme="1" tint="4.9989318521683403E-2"/>
      </font>
    </dxf>
    <dxf>
      <numFmt numFmtId="1" formatCode="0"/>
    </dxf>
    <dxf>
      <font>
        <color theme="1" tint="4.9989318521683403E-2"/>
      </font>
    </dxf>
    <dxf>
      <numFmt numFmtId="168" formatCode="[$$-409]#,\K"/>
    </dxf>
    <dxf>
      <numFmt numFmtId="14" formatCode="0.00%"/>
    </dxf>
    <dxf>
      <numFmt numFmtId="168" formatCode="[$$-409]#,\K"/>
    </dxf>
    <dxf>
      <numFmt numFmtId="168" formatCode="[$$-409]#,\K"/>
    </dxf>
    <dxf>
      <numFmt numFmtId="168" formatCode="[$$-409]#,\K"/>
    </dxf>
    <dxf>
      <alignment horizontal="center" readingOrder="0"/>
    </dxf>
    <dxf>
      <alignment horizontal="center" readingOrder="0"/>
    </dxf>
    <dxf>
      <font>
        <color theme="0"/>
      </font>
    </dxf>
    <dxf>
      <fill>
        <patternFill patternType="solid">
          <bgColor theme="3" tint="-0.499984740745262"/>
        </patternFill>
      </fill>
    </dxf>
    <dxf>
      <font>
        <b/>
      </font>
    </dxf>
    <dxf>
      <font>
        <sz val="12"/>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ill>
        <patternFill>
          <bgColor theme="1" tint="0.499984740745262"/>
        </patternFill>
      </fill>
    </dxf>
    <dxf>
      <font>
        <color theme="0"/>
      </font>
    </dxf>
    <dxf>
      <fill>
        <patternFill>
          <bgColor theme="3" tint="0.79998168889431442"/>
        </patternFill>
      </fill>
    </dxf>
    <dxf>
      <fill>
        <patternFill>
          <bgColor theme="0"/>
        </patternFill>
      </fill>
    </dxf>
    <dxf>
      <font>
        <color theme="0"/>
      </font>
    </dxf>
    <dxf>
      <fill>
        <patternFill>
          <bgColor theme="2"/>
        </patternFill>
      </fill>
    </dxf>
    <dxf>
      <font>
        <color auto="1"/>
      </font>
    </dxf>
    <dxf>
      <fill>
        <patternFill patternType="solid">
          <bgColor theme="4" tint="0.79998168889431442"/>
        </patternFill>
      </fill>
    </dxf>
    <dxf>
      <fill>
        <patternFill>
          <bgColor theme="3"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ont>
        <color theme="2" tint="-0.89999084444715716"/>
      </font>
    </dxf>
    <dxf>
      <fill>
        <patternFill>
          <bgColor theme="0"/>
        </patternFill>
      </fill>
    </dxf>
    <dxf>
      <alignment vertical="center" readingOrder="0"/>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fill>
        <patternFill patternType="solid">
          <bgColor theme="3" tint="-0.499984740745262"/>
        </patternFill>
      </fill>
    </dxf>
    <dxf>
      <font>
        <color theme="0"/>
      </font>
    </dxf>
    <dxf>
      <font>
        <sz val="12"/>
      </font>
    </dxf>
    <dxf>
      <alignment horizontal="center" readingOrder="0"/>
    </dxf>
    <dxf>
      <font>
        <b/>
      </font>
    </dxf>
    <dxf>
      <fill>
        <patternFill patternType="solid">
          <bgColor theme="4" tint="0.79998168889431442"/>
        </patternFill>
      </fill>
    </dxf>
    <dxf>
      <alignment vertical="center" readingOrder="0"/>
    </dxf>
    <dxf>
      <alignment horizontal="center" readingOrder="0"/>
    </dxf>
    <dxf>
      <fill>
        <patternFill>
          <bgColor theme="3" tint="-0.499984740745262"/>
        </patternFill>
      </fill>
    </dxf>
    <dxf>
      <font>
        <color theme="0"/>
      </font>
    </dxf>
    <dxf>
      <fill>
        <patternFill>
          <bgColor theme="3" tint="0.79998168889431442"/>
        </patternFill>
      </fill>
    </dxf>
    <dxf>
      <fill>
        <patternFill patternType="solid">
          <bgColor theme="4" tint="0.79998168889431442"/>
        </patternFill>
      </fill>
    </dxf>
    <dxf>
      <font>
        <color theme="3" tint="-0.499984740745262"/>
      </font>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3" tint="-0.499984740745262"/>
        </patternFill>
      </fill>
    </dxf>
    <dxf>
      <fill>
        <patternFill>
          <bgColor theme="0" tint="-0.34998626667073579"/>
        </patternFill>
      </fill>
    </dxf>
    <dxf>
      <font>
        <color theme="2" tint="-0.89999084444715716"/>
      </font>
    </dxf>
    <dxf>
      <fill>
        <patternFill>
          <bgColor theme="0"/>
        </patternFill>
      </fill>
    </dxf>
    <dxf>
      <alignment vertical="center" readingOrder="0"/>
    </dxf>
    <dxf>
      <font>
        <sz val="14"/>
      </font>
    </dxf>
    <dxf>
      <font>
        <sz val="16"/>
      </font>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horizontal="center" readingOrder="0"/>
    </dxf>
    <dxf>
      <alignment horizontal="center" readingOrder="0"/>
    </dxf>
    <dxf>
      <font>
        <sz val="11"/>
      </font>
    </dxf>
    <dxf>
      <fill>
        <patternFill patternType="solid">
          <bgColor theme="3"/>
        </patternFill>
      </fill>
    </dxf>
    <dxf>
      <font>
        <color theme="0"/>
      </font>
    </dxf>
    <dxf>
      <font>
        <sz val="11"/>
      </font>
    </dxf>
    <dxf>
      <alignment vertical="center" readingOrder="0"/>
    </dxf>
    <dxf>
      <alignment vertical="center" readingOrder="0"/>
    </dxf>
    <dxf>
      <font>
        <b/>
      </font>
    </dxf>
    <dxf>
      <font>
        <sz val="14"/>
      </font>
    </dxf>
    <dxf>
      <numFmt numFmtId="164" formatCode="_-[$$-409]\ \ * #,##0.00_ ;_-[$$-409]* \-#,##0.00\ ;_-[$$-409]* &quot;-&quot;??_ ;_-@_ "/>
    </dxf>
    <dxf>
      <font>
        <b/>
      </font>
    </dxf>
    <dxf>
      <font>
        <sz val="12"/>
      </font>
    </dxf>
    <dxf>
      <fill>
        <patternFill>
          <bgColor theme="3" tint="-0.499984740745262"/>
        </patternFill>
      </fill>
    </dxf>
    <dxf>
      <fill>
        <patternFill patternType="solid">
          <bgColor theme="4" tint="0.79998168889431442"/>
        </patternFill>
      </fill>
    </dxf>
    <dxf>
      <alignment horizontal="general" readingOrder="0"/>
    </dxf>
    <dxf>
      <alignment vertical="center" readingOrder="0"/>
    </dxf>
    <dxf>
      <alignment horizontal="center" readingOrder="0"/>
    </dxf>
    <dxf>
      <fill>
        <patternFill>
          <bgColor theme="3" tint="-0.499984740745262"/>
        </patternFill>
      </fill>
    </dxf>
    <dxf>
      <fill>
        <patternFill>
          <bgColor theme="0"/>
        </patternFill>
      </fill>
    </dxf>
    <dxf>
      <font>
        <color theme="3" tint="-0.499984740745262"/>
      </font>
    </dxf>
    <dxf>
      <font>
        <color theme="0"/>
      </font>
    </dxf>
    <dxf>
      <fill>
        <patternFill>
          <bgColor theme="4" tint="0.79998168889431442"/>
        </patternFill>
      </fill>
    </dxf>
    <dxf>
      <font>
        <color auto="1"/>
      </font>
    </dxf>
    <dxf>
      <fill>
        <patternFill>
          <bgColor theme="0"/>
        </patternFill>
      </fill>
    </dxf>
    <dxf>
      <fill>
        <patternFill>
          <bgColor theme="3" tint="-0.499984740745262"/>
        </patternFill>
      </fill>
    </dxf>
    <dxf>
      <font>
        <color theme="0"/>
      </font>
    </dxf>
    <dxf>
      <fill>
        <patternFill>
          <bgColor theme="2"/>
        </patternFill>
      </fill>
    </dxf>
    <dxf>
      <font>
        <color theme="3" tint="-0.499984740745262"/>
      </font>
    </dxf>
    <dxf>
      <fill>
        <patternFill patternType="solid">
          <bgColor theme="4" tint="0.79998168889431442"/>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ill>
        <patternFill>
          <bgColor theme="0" tint="-0.34998626667073579"/>
        </patternFill>
      </fill>
    </dxf>
    <dxf>
      <font>
        <color theme="2" tint="-0.89999084444715716"/>
      </font>
    </dxf>
    <dxf>
      <fill>
        <patternFill>
          <bgColor theme="0"/>
        </patternFill>
      </fill>
    </dxf>
    <dxf>
      <border>
        <left/>
        <right/>
        <top/>
      </border>
    </dxf>
    <dxf>
      <fill>
        <patternFill>
          <bgColor theme="0" tint="-4.9989318521683403E-2"/>
        </patternFill>
      </fill>
    </dxf>
    <dxf>
      <fill>
        <patternFill>
          <bgColor theme="3" tint="-0.499984740745262"/>
        </patternFill>
      </fill>
    </dxf>
    <dxf>
      <fill>
        <patternFill>
          <bgColor theme="0"/>
        </patternFill>
      </fill>
    </dxf>
    <dxf>
      <border>
        <left style="thin">
          <color indexed="64"/>
        </left>
        <right style="thin">
          <color indexed="64"/>
        </right>
        <top style="thin">
          <color indexed="64"/>
        </top>
        <bottom style="thin">
          <color indexed="64"/>
        </bottom>
      </border>
    </dxf>
    <dxf>
      <font>
        <sz val="12"/>
      </font>
    </dxf>
    <dxf>
      <font>
        <sz val="14"/>
      </font>
    </dxf>
    <dxf>
      <border>
        <left/>
        <right/>
        <top/>
      </border>
    </dxf>
    <dxf>
      <fill>
        <patternFill>
          <bgColor theme="0"/>
        </patternFill>
      </fill>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sz val="18"/>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alignment vertical="center" readingOrder="0"/>
    </dxf>
    <dxf>
      <alignment horizontal="center" readingOrder="0"/>
    </dxf>
    <dxf>
      <fill>
        <patternFill patternType="solid">
          <bgColor theme="3"/>
        </patternFill>
      </fill>
    </dxf>
    <dxf>
      <font>
        <color theme="0"/>
      </font>
    </dxf>
    <dxf>
      <numFmt numFmtId="172" formatCode="[$$-409]\ \ \ \ \ \ \ \ \ \ \ \ \ \ \ \ \ \ \ #,##0.00"/>
    </dxf>
    <dxf>
      <font>
        <b/>
      </font>
    </dxf>
    <dxf>
      <font>
        <sz val="12"/>
      </font>
    </dxf>
    <dxf>
      <numFmt numFmtId="171" formatCode="[$$-409]\ \ \ \ \ \ \ \ \ \ \ \ \ \ \ #,##0.00"/>
    </dxf>
    <dxf>
      <fill>
        <patternFill patternType="solid">
          <bgColor theme="4" tint="0.79998168889431442"/>
        </patternFill>
      </fill>
    </dxf>
    <dxf>
      <alignment horizontal="general" readingOrder="0"/>
    </dxf>
    <dxf>
      <alignment vertical="center" readingOrder="0"/>
    </dxf>
    <dxf>
      <numFmt numFmtId="165" formatCode="_-[$$-409]* #,##0.00_ ;_-[$$-409]* \-#,##0.00\ ;_-[$$-409]* &quot;-&quot;??_ ;_-@_ "/>
    </dxf>
    <dxf>
      <fill>
        <patternFill>
          <bgColor theme="3" tint="-0.499984740745262"/>
        </patternFill>
      </fill>
    </dxf>
    <dxf>
      <fill>
        <patternFill>
          <bgColor theme="1" tint="0.499984740745262"/>
        </patternFill>
      </fill>
    </dxf>
    <dxf>
      <fill>
        <patternFill>
          <bgColor theme="3" tint="0.79998168889431442"/>
        </patternFill>
      </fill>
    </dxf>
    <dxf>
      <font>
        <color auto="1"/>
      </font>
    </dxf>
    <dxf>
      <fill>
        <patternFill>
          <bgColor theme="0"/>
        </patternFill>
      </fill>
    </dxf>
    <dxf>
      <fill>
        <patternFill>
          <bgColor theme="2"/>
        </patternFill>
      </fill>
    </dxf>
    <dxf>
      <font>
        <color theme="3" tint="-0.499984740745262"/>
      </font>
    </dxf>
    <dxf>
      <font>
        <color theme="0"/>
      </font>
    </dxf>
    <dxf>
      <fill>
        <patternFill patternType="solid">
          <bgColor theme="4" tint="0.79998168889431442"/>
        </patternFill>
      </fill>
    </dxf>
    <dxf>
      <fill>
        <patternFill>
          <bgColor theme="4" tint="0.59999389629810485"/>
        </patternFill>
      </fill>
    </dxf>
    <dxf>
      <border>
        <bottom style="thin">
          <color indexed="64"/>
        </bottom>
      </border>
    </dxf>
    <dxf>
      <border>
        <top style="thin">
          <color indexed="64"/>
        </top>
      </border>
    </dxf>
    <dxf>
      <border>
        <left style="thin">
          <color indexed="64"/>
        </left>
      </border>
    </dxf>
    <dxf>
      <border>
        <right style="thin">
          <color indexed="64"/>
        </right>
      </border>
    </dxf>
    <dxf>
      <fill>
        <patternFill>
          <bgColor theme="0" tint="-4.9989318521683403E-2"/>
        </patternFill>
      </fill>
    </dxf>
    <dxf>
      <font>
        <color theme="2" tint="-0.89999084444715716"/>
      </font>
    </dxf>
    <dxf>
      <fill>
        <patternFill>
          <bgColor theme="3" tint="-0.499984740745262"/>
        </patternFill>
      </fill>
    </dxf>
    <dxf>
      <fill>
        <patternFill>
          <bgColor theme="0"/>
        </patternFill>
      </fill>
    </dxf>
    <dxf>
      <font>
        <sz val="14"/>
      </font>
    </dxf>
    <dxf>
      <border>
        <left/>
        <right/>
        <top/>
      </border>
    </dxf>
    <dxf>
      <fill>
        <patternFill>
          <bgColor theme="0"/>
        </patternFill>
      </fill>
    </dxf>
    <dxf>
      <border>
        <left style="thin">
          <color theme="4" tint="-0.249977111117893"/>
        </left>
        <right style="thin">
          <color theme="4" tint="-0.249977111117893"/>
        </right>
        <top style="thin">
          <color theme="4" tint="-0.249977111117893"/>
        </top>
        <bottom style="thin">
          <color theme="4" tint="-0.249977111117893"/>
        </bottom>
      </border>
    </dxf>
    <dxf>
      <font>
        <sz val="16"/>
      </font>
    </dxf>
    <dxf>
      <font>
        <sz val="18"/>
      </font>
    </dxf>
    <dxf>
      <border>
        <left style="thin">
          <color indexed="64"/>
        </left>
        <right style="thin">
          <color indexed="64"/>
        </right>
        <top style="thin">
          <color indexed="64"/>
        </top>
        <bottom style="thin">
          <color indexed="64"/>
        </bottom>
      </border>
    </dxf>
    <dxf>
      <border>
        <left style="thin">
          <color indexed="64"/>
        </left>
        <right style="thin">
          <color indexed="64"/>
        </right>
      </border>
    </dxf>
    <dxf>
      <numFmt numFmtId="168" formatCode="[$$-409]#,\K"/>
    </dxf>
    <dxf>
      <numFmt numFmtId="2" formatCode="0.00"/>
    </dxf>
    <dxf>
      <numFmt numFmtId="2" formatCode="0.00"/>
    </dxf>
    <dxf>
      <numFmt numFmtId="167" formatCode="dd/mm/yyyy;@"/>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fgColor theme="0" tint="-4.9989318521683403E-2"/>
          <bgColor theme="0" tint="-4.9989318521683403E-2"/>
        </patternFill>
      </fill>
    </dxf>
    <dxf>
      <font>
        <color theme="1"/>
      </font>
      <fill>
        <patternFill>
          <bgColor theme="3" tint="0.59996337778862885"/>
        </patternFill>
      </fill>
    </dxf>
    <dxf>
      <font>
        <color theme="0"/>
      </font>
      <fill>
        <patternFill>
          <bgColor theme="3" tint="-0.499984740745262"/>
        </patternFill>
      </fill>
    </dxf>
    <dxf>
      <fill>
        <patternFill>
          <bgColor theme="0" tint="-4.9989318521683403E-2"/>
        </patternFill>
      </fill>
    </dxf>
    <dxf>
      <fill>
        <patternFill>
          <bgColor theme="0" tint="-0.14996795556505021"/>
        </patternFill>
      </fill>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horizontal style="thin">
          <color theme="4" tint="0.79998168889431442"/>
        </horizontal>
      </border>
    </dxf>
    <dxf>
      <font>
        <color theme="0"/>
      </font>
      <fill>
        <patternFill patternType="solid">
          <fgColor theme="3" tint="-0.499984740745262"/>
          <bgColor theme="3" tint="-0.499984740745262"/>
        </patternFill>
      </fill>
      <border>
        <horizontal style="thin">
          <color theme="4" tint="-0.499984740745262"/>
        </horizontal>
      </border>
    </dxf>
    <dxf>
      <font>
        <b/>
        <color theme="0"/>
      </font>
      <fill>
        <patternFill patternType="solid">
          <fgColor theme="3" tint="-0.499984740745262"/>
          <bgColor theme="3" tint="-0.499984740745262"/>
        </patternFill>
      </fill>
      <border>
        <horizontal style="thin">
          <color theme="4" tint="-0.499984740745262"/>
        </horizontal>
      </border>
    </dxf>
    <dxf>
      <font>
        <b/>
        <color theme="1"/>
      </font>
    </dxf>
    <dxf>
      <font>
        <b/>
        <color theme="1"/>
      </font>
      <fill>
        <patternFill patternType="solid">
          <fgColor theme="3" tint="-0.499984740745262"/>
          <bgColor theme="3" tint="-0.499984740745262"/>
        </patternFill>
      </fill>
      <border>
        <top style="thin">
          <color theme="4" tint="0.39997558519241921"/>
        </top>
        <bottom style="thin">
          <color theme="4" tint="0.39997558519241921"/>
        </bottom>
      </border>
    </dxf>
    <dxf>
      <font>
        <b/>
        <color theme="1"/>
      </font>
      <border>
        <bottom style="thin">
          <color theme="4" tint="0.79998168889431442"/>
        </bottom>
      </border>
    </dxf>
    <dxf>
      <fill>
        <patternFill>
          <fgColor theme="3" tint="-0.499984740745262"/>
        </patternFill>
      </fill>
      <border>
        <left style="thin">
          <color theme="4" tint="0.79998168889431442"/>
        </left>
        <right style="thin">
          <color theme="4" tint="0.79998168889431442"/>
        </right>
      </border>
    </dxf>
    <dxf>
      <fill>
        <patternFill>
          <bgColor theme="3" tint="-0.499984740745262"/>
        </patternFill>
      </fill>
    </dxf>
    <dxf>
      <fill>
        <patternFill patternType="solid">
          <fgColor theme="3" tint="-0.499984740745262"/>
          <bgColor theme="3" tint="-0.499984740745262"/>
        </patternFill>
      </fill>
    </dxf>
    <dxf>
      <fill>
        <patternFill>
          <bgColor theme="3" tint="-0.499984740745262"/>
        </patternFill>
      </fill>
    </dxf>
    <dxf>
      <font>
        <b/>
        <color theme="0"/>
      </font>
      <fill>
        <patternFill patternType="solid">
          <fgColor theme="4" tint="-0.499984740745262"/>
          <bgColor theme="4" tint="-0.499984740745262"/>
        </patternFill>
      </fill>
    </dxf>
    <dxf>
      <font>
        <color theme="1"/>
      </font>
      <fill>
        <patternFill patternType="solid">
          <fgColor theme="0" tint="-4.9989318521683403E-2"/>
          <bgColor theme="0" tint="-4.9989318521683403E-2"/>
        </patternFill>
      </fill>
      <border>
        <bottom style="thin">
          <color theme="4"/>
        </bottom>
        <horizontal style="thin">
          <color theme="4" tint="-0.499984740745262"/>
        </horizontal>
      </border>
    </dxf>
    <dxf>
      <fill>
        <patternFill>
          <fgColor theme="0" tint="-4.9989318521683403E-2"/>
          <bgColor theme="0" tint="-4.9989318521683403E-2"/>
        </patternFill>
      </fill>
    </dxf>
    <dxf>
      <font>
        <color theme="1"/>
      </font>
    </dxf>
    <dxf>
      <font>
        <b/>
        <color theme="0"/>
      </font>
    </dxf>
    <dxf>
      <font>
        <b/>
        <color theme="0"/>
      </font>
    </dxf>
    <dxf>
      <font>
        <b/>
        <color theme="0"/>
      </font>
      <fill>
        <patternFill patternType="solid">
          <fgColor theme="4" tint="-0.249977111117893"/>
          <bgColor theme="4" tint="-0.249977111117893"/>
        </patternFill>
      </fill>
    </dxf>
    <dxf>
      <border>
        <bottom style="thin">
          <color theme="4" tint="0.39997558519241921"/>
        </bottom>
      </border>
    </dxf>
    <dxf>
      <font>
        <b/>
        <color theme="0"/>
      </font>
    </dxf>
    <dxf>
      <fill>
        <patternFill patternType="solid">
          <fgColor theme="4" tint="-0.249977111117893"/>
          <bgColor theme="4" tint="-0.249977111117893"/>
        </patternFill>
      </fill>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top style="thin">
          <color theme="4" tint="0.39997558519241921"/>
        </top>
        <bottom style="thin">
          <color theme="4" tint="0.39997558519241921"/>
        </bottom>
      </border>
    </dxf>
    <dxf>
      <font>
        <color theme="1"/>
      </font>
    </dxf>
    <dxf>
      <font>
        <b/>
        <color theme="0"/>
      </font>
      <fill>
        <patternFill patternType="solid">
          <fgColor theme="1"/>
          <bgColor theme="1"/>
        </patternFill>
      </fill>
    </dxf>
    <dxf>
      <font>
        <color theme="1"/>
      </font>
      <fill>
        <patternFill patternType="solid">
          <fgColor theme="0" tint="-4.9989318521683403E-2"/>
          <bgColor theme="0" tint="-4.9989318521683403E-2"/>
        </patternFill>
      </fill>
    </dxf>
    <dxf>
      <font>
        <color theme="4" tint="0.79998168889431442"/>
      </font>
      <fill>
        <patternFill patternType="solid">
          <fgColor theme="0" tint="-4.9989318521683403E-2"/>
          <bgColor theme="0" tint="-4.9989318521683403E-2"/>
        </patternFill>
      </fill>
      <border diagonalUp="0" diagonalDown="0">
        <left/>
        <right/>
        <top/>
        <bottom/>
        <vertical/>
        <horizontal/>
      </border>
    </dxf>
  </dxfs>
  <tableStyles count="7" defaultTableStyle="TableStyleMedium2" defaultPivotStyle="PivotStyleLight16">
    <tableStyle name="PivotStyleDark16 2" table="0" count="13">
      <tableStyleElement type="wholeTable" dxfId="1716"/>
      <tableStyleElement type="headerRow" dxfId="1715"/>
      <tableStyleElement type="totalRow" dxfId="1714"/>
      <tableStyleElement type="firstColumn" dxfId="1713"/>
      <tableStyleElement type="firstRowStripe" dxfId="1712"/>
      <tableStyleElement type="firstColumnStripe" dxfId="1711"/>
      <tableStyleElement type="firstSubtotalColumn" dxfId="1710"/>
      <tableStyleElement type="firstSubtotalRow" dxfId="1709"/>
      <tableStyleElement type="firstColumnSubheading" dxfId="1708"/>
      <tableStyleElement type="firstRowSubheading" dxfId="1707"/>
      <tableStyleElement type="secondRowSubheading" dxfId="1706"/>
      <tableStyleElement type="pageFieldLabels" dxfId="1705"/>
      <tableStyleElement type="pageFieldValues" dxfId="1704"/>
    </tableStyle>
    <tableStyle name="PivotStyleDark2 2" table="0" count="12">
      <tableStyleElement type="wholeTable" dxfId="1703"/>
      <tableStyleElement type="headerRow" dxfId="1702"/>
      <tableStyleElement type="totalRow" dxfId="1701"/>
      <tableStyleElement type="firstRowStripe" dxfId="1700"/>
      <tableStyleElement type="secondRowStripe" dxfId="1699"/>
      <tableStyleElement type="firstColumnStripe" dxfId="1698"/>
      <tableStyleElement type="secondColumnStripe" dxfId="1697"/>
      <tableStyleElement type="firstSubtotalRow" dxfId="1696"/>
      <tableStyleElement type="firstRowSubheading" dxfId="1695"/>
      <tableStyleElement type="secondRowSubheading" dxfId="1694"/>
      <tableStyleElement type="pageFieldLabels" dxfId="1693"/>
      <tableStyleElement type="pageFieldValues" dxfId="1692"/>
    </tableStyle>
    <tableStyle name="PivotStyleMedium2 3" table="0" count="13">
      <tableStyleElement type="wholeTable" dxfId="1691"/>
      <tableStyleElement type="headerRow" dxfId="1690"/>
      <tableStyleElement type="totalRow" dxfId="1689"/>
      <tableStyleElement type="firstRowStripe" dxfId="1688"/>
      <tableStyleElement type="firstColumnStripe" dxfId="1687"/>
      <tableStyleElement type="firstHeaderCell" dxfId="1686"/>
      <tableStyleElement type="firstSubtotalRow" dxfId="1685"/>
      <tableStyleElement type="secondSubtotalRow" dxfId="1684"/>
      <tableStyleElement type="firstColumnSubheading" dxfId="1683"/>
      <tableStyleElement type="firstRowSubheading" dxfId="1682"/>
      <tableStyleElement type="secondRowSubheading" dxfId="1681"/>
      <tableStyleElement type="pageFieldLabels" dxfId="1680"/>
      <tableStyleElement type="pageFieldValues" dxfId="1679"/>
    </tableStyle>
    <tableStyle name="PivotTable Style 1" table="0" count="1">
      <tableStyleElement type="wholeTable" dxfId="1678"/>
    </tableStyle>
    <tableStyle name="PivotTable Style 2" table="0" count="3">
      <tableStyleElement type="wholeTable" dxfId="1677"/>
      <tableStyleElement type="firstRowStripe" dxfId="1676"/>
      <tableStyleElement type="secondColumnStripe" dxfId="1675"/>
    </tableStyle>
    <tableStyle name="PivotTable Style 3" table="0" count="1">
      <tableStyleElement type="wholeTable" dxfId="1674"/>
    </tableStyle>
    <tableStyle name="SlicerStyleLight1 2" pivot="0" table="0" count="10">
      <tableStyleElement type="wholeTable" dxfId="1673"/>
      <tableStyleElement type="headerRow" dxfId="1672"/>
    </tableStyle>
  </tableStyles>
  <colors>
    <mruColors>
      <color rgb="FFE9EFF7"/>
      <color rgb="FFFFFFFF"/>
    </mruColors>
  </colors>
  <extLst>
    <ext xmlns:x14="http://schemas.microsoft.com/office/spreadsheetml/2009/9/main" uri="{46F421CA-312F-682f-3DD2-61675219B42D}">
      <x14:dxfs count="8">
        <dxf>
          <font>
            <color rgb="FF000000"/>
          </font>
          <fill>
            <gradientFill degree="27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27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000000"/>
          </font>
          <fill>
            <gradientFill degree="27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3"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3"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3" tint="0.59996337778862885"/>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[Shoe_Sales_Analytics_Dashboard.xlsx]Pivot_Top_Chart_Tables!Top Country</c:name>
    <c:fmtId val="6"/>
  </c:pivotSource>
  <c:chart>
    <c:title>
      <c:tx>
        <c:rich>
          <a:bodyPr/>
          <a:lstStyle/>
          <a:p>
            <a:pPr>
              <a:defRPr/>
            </a:pPr>
            <a:r>
              <a:rPr lang="en-US" sz="1800"/>
              <a:t>TOP</a:t>
            </a:r>
            <a:r>
              <a:rPr lang="en-US" sz="1800" baseline="0"/>
              <a:t> Country </a:t>
            </a:r>
            <a:endParaRPr lang="en-US" sz="1800"/>
          </a:p>
        </c:rich>
      </c:tx>
      <c:layout>
        <c:manualLayout>
          <c:xMode val="edge"/>
          <c:yMode val="edge"/>
          <c:x val="0.37006562974465057"/>
          <c:y val="6.0905615601391343E-2"/>
        </c:manualLayout>
      </c:layout>
      <c:overlay val="0"/>
    </c:title>
    <c:autoTitleDeleted val="0"/>
    <c:pivotFmts>
      <c:pivotFmt>
        <c:idx val="0"/>
        <c:marker>
          <c:symbol val="none"/>
        </c:marker>
      </c:pivotFmt>
      <c:pivotFmt>
        <c:idx val="1"/>
        <c:marker>
          <c:symbol val="none"/>
        </c:marker>
      </c:pivotFmt>
      <c:pivotFmt>
        <c:idx val="2"/>
        <c:spPr>
          <a:solidFill>
            <a:schemeClr val="tx2">
              <a:lumMod val="50000"/>
            </a:schemeClr>
          </a:solidFill>
        </c:spPr>
        <c:marker>
          <c:symbol val="none"/>
        </c:marker>
        <c:dLbl>
          <c:idx val="0"/>
          <c:layout/>
          <c:spPr/>
          <c:txPr>
            <a:bodyPr/>
            <a:lstStyle/>
            <a:p>
              <a:pPr>
                <a:defRPr sz="1100"/>
              </a:pPr>
              <a:endParaRPr lang="id-ID"/>
            </a:p>
          </c:txPr>
          <c:dLblPos val="outEnd"/>
          <c:showLegendKey val="0"/>
          <c:showVal val="1"/>
          <c:showCatName val="0"/>
          <c:showSerName val="0"/>
          <c:showPercent val="0"/>
          <c:showBubbleSize val="0"/>
        </c:dLbl>
      </c:pivotFmt>
      <c:pivotFmt>
        <c:idx val="3"/>
      </c:pivotFmt>
      <c:pivotFmt>
        <c:idx val="4"/>
      </c:pivotFmt>
    </c:pivotFmts>
    <c:plotArea>
      <c:layout>
        <c:manualLayout>
          <c:layoutTarget val="inner"/>
          <c:xMode val="edge"/>
          <c:yMode val="edge"/>
          <c:x val="0.26481301144986918"/>
          <c:y val="0.21764774140074597"/>
          <c:w val="0.68852763839117936"/>
          <c:h val="0.65407313293038027"/>
        </c:manualLayout>
      </c:layout>
      <c:barChart>
        <c:barDir val="bar"/>
        <c:grouping val="clustered"/>
        <c:varyColors val="0"/>
        <c:ser>
          <c:idx val="0"/>
          <c:order val="0"/>
          <c:tx>
            <c:strRef>
              <c:f>Pivot_Top_Chart_Tables!$E$3</c:f>
              <c:strCache>
                <c:ptCount val="1"/>
                <c:pt idx="0">
                  <c:v>Total</c:v>
                </c:pt>
              </c:strCache>
            </c:strRef>
          </c:tx>
          <c:spPr>
            <a:solidFill>
              <a:schemeClr val="tx2">
                <a:lumMod val="50000"/>
              </a:schemeClr>
            </a:solidFill>
          </c:spPr>
          <c:invertIfNegative val="0"/>
          <c:dLbls>
            <c:spPr/>
            <c:txPr>
              <a:bodyPr/>
              <a:lstStyle/>
              <a:p>
                <a:pPr>
                  <a:defRPr sz="1100"/>
                </a:pPr>
                <a:endParaRPr lang="id-ID"/>
              </a:p>
            </c:txPr>
            <c:dLblPos val="outEnd"/>
            <c:showLegendKey val="0"/>
            <c:showVal val="1"/>
            <c:showCatName val="0"/>
            <c:showSerName val="0"/>
            <c:showPercent val="0"/>
            <c:showBubbleSize val="0"/>
            <c:showLeaderLines val="0"/>
          </c:dLbls>
          <c:cat>
            <c:strRef>
              <c:f>Pivot_Top_Chart_Tables!$D$4:$D$7</c:f>
              <c:strCache>
                <c:ptCount val="3"/>
                <c:pt idx="0">
                  <c:v>UK</c:v>
                </c:pt>
                <c:pt idx="1">
                  <c:v>USA</c:v>
                </c:pt>
                <c:pt idx="2">
                  <c:v>Germany</c:v>
                </c:pt>
              </c:strCache>
            </c:strRef>
          </c:cat>
          <c:val>
            <c:numRef>
              <c:f>Pivot_Top_Chart_Tables!$E$4:$E$7</c:f>
              <c:numCache>
                <c:formatCode>[$$-409]#,\K</c:formatCode>
                <c:ptCount val="3"/>
                <c:pt idx="0">
                  <c:v>16214.220000000001</c:v>
                </c:pt>
                <c:pt idx="1">
                  <c:v>16223.72</c:v>
                </c:pt>
                <c:pt idx="2">
                  <c:v>21607.72</c:v>
                </c:pt>
              </c:numCache>
            </c:numRef>
          </c:val>
        </c:ser>
        <c:dLbls>
          <c:showLegendKey val="0"/>
          <c:showVal val="0"/>
          <c:showCatName val="0"/>
          <c:showSerName val="0"/>
          <c:showPercent val="0"/>
          <c:showBubbleSize val="0"/>
        </c:dLbls>
        <c:gapWidth val="150"/>
        <c:axId val="256578304"/>
        <c:axId val="256579840"/>
      </c:barChart>
      <c:catAx>
        <c:axId val="256578304"/>
        <c:scaling>
          <c:orientation val="minMax"/>
        </c:scaling>
        <c:delete val="0"/>
        <c:axPos val="l"/>
        <c:majorTickMark val="out"/>
        <c:minorTickMark val="none"/>
        <c:tickLblPos val="nextTo"/>
        <c:txPr>
          <a:bodyPr/>
          <a:lstStyle/>
          <a:p>
            <a:pPr>
              <a:defRPr sz="1400" b="1"/>
            </a:pPr>
            <a:endParaRPr lang="id-ID"/>
          </a:p>
        </c:txPr>
        <c:crossAx val="256579840"/>
        <c:crosses val="autoZero"/>
        <c:auto val="1"/>
        <c:lblAlgn val="ctr"/>
        <c:lblOffset val="100"/>
        <c:noMultiLvlLbl val="0"/>
      </c:catAx>
      <c:valAx>
        <c:axId val="256579840"/>
        <c:scaling>
          <c:orientation val="minMax"/>
        </c:scaling>
        <c:delete val="0"/>
        <c:axPos val="b"/>
        <c:numFmt formatCode="[$$-409]#,\K" sourceLinked="1"/>
        <c:majorTickMark val="out"/>
        <c:minorTickMark val="none"/>
        <c:tickLblPos val="nextTo"/>
        <c:txPr>
          <a:bodyPr/>
          <a:lstStyle/>
          <a:p>
            <a:pPr>
              <a:defRPr sz="1400" b="1"/>
            </a:pPr>
            <a:endParaRPr lang="id-ID"/>
          </a:p>
        </c:txPr>
        <c:crossAx val="256578304"/>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[Shoe_Sales_Analytics_Dashboard.xlsx]Pivot_Top_Chart_Tables!Top Brand</c:name>
    <c:fmtId val="2"/>
  </c:pivotSource>
  <c:chart>
    <c:title>
      <c:tx>
        <c:rich>
          <a:bodyPr/>
          <a:lstStyle/>
          <a:p>
            <a:pPr>
              <a:defRPr/>
            </a:pPr>
            <a:r>
              <a:rPr lang="en-US" sz="1800"/>
              <a:t>TOP</a:t>
            </a:r>
            <a:r>
              <a:rPr lang="en-US" sz="1800" baseline="0"/>
              <a:t> Brand </a:t>
            </a:r>
            <a:endParaRPr lang="en-US" sz="1800"/>
          </a:p>
        </c:rich>
      </c:tx>
      <c:layout>
        <c:manualLayout>
          <c:xMode val="edge"/>
          <c:yMode val="edge"/>
          <c:x val="0.37749482243423427"/>
          <c:y val="6.1262444225047015E-2"/>
        </c:manualLayout>
      </c:layout>
      <c:overlay val="0"/>
      <c:spPr>
        <a:noFill/>
      </c:spPr>
    </c:title>
    <c:autoTitleDeleted val="0"/>
    <c:pivotFmts>
      <c:pivotFmt>
        <c:idx val="0"/>
        <c:dLbl>
          <c:idx val="0"/>
          <c:spPr/>
          <c:txPr>
            <a:bodyPr/>
            <a:lstStyle/>
            <a:p>
              <a:pPr>
                <a:defRPr/>
              </a:pPr>
              <a:endParaRPr lang="id-ID"/>
            </a:p>
          </c:txPr>
          <c:showLegendKey val="1"/>
          <c:showVal val="1"/>
          <c:showCatName val="1"/>
          <c:showSerName val="1"/>
          <c:showPercent val="1"/>
          <c:showBubbleSize val="1"/>
        </c:dLbl>
      </c:pivotFmt>
      <c:pivotFmt>
        <c:idx val="1"/>
        <c:dLbl>
          <c:idx val="0"/>
          <c:spPr/>
          <c:txPr>
            <a:bodyPr/>
            <a:lstStyle/>
            <a:p>
              <a:pPr>
                <a:defRPr/>
              </a:pPr>
              <a:endParaRPr lang="id-ID"/>
            </a:p>
          </c:txPr>
          <c:showLegendKey val="1"/>
          <c:showVal val="1"/>
          <c:showCatName val="1"/>
          <c:showSerName val="1"/>
          <c:showPercent val="1"/>
          <c:showBubbleSize val="1"/>
        </c:dLbl>
      </c:pivotFmt>
      <c:pivotFmt>
        <c:idx val="2"/>
        <c:spPr>
          <a:solidFill>
            <a:schemeClr val="tx2">
              <a:lumMod val="50000"/>
            </a:schemeClr>
          </a:solidFill>
        </c:spPr>
        <c:marker>
          <c:symbol val="none"/>
        </c:marker>
        <c:dLbl>
          <c:idx val="0"/>
          <c:layout/>
          <c:spPr/>
          <c:txPr>
            <a:bodyPr/>
            <a:lstStyle/>
            <a:p>
              <a:pPr>
                <a:defRPr sz="1100"/>
              </a:pPr>
              <a:endParaRPr lang="id-ID"/>
            </a:p>
          </c:txPr>
          <c:dLblPos val="outEnd"/>
          <c:showLegendKey val="0"/>
          <c:showVal val="1"/>
          <c:showCatName val="0"/>
          <c:showSerName val="0"/>
          <c:showPercent val="0"/>
          <c:showBubbleSize val="0"/>
        </c:dLbl>
      </c:pivotFmt>
      <c:pivotFmt>
        <c:idx val="3"/>
      </c:pivotFmt>
      <c:pivotFmt>
        <c:idx val="4"/>
      </c:pivotFmt>
    </c:pivotFmts>
    <c:plotArea>
      <c:layout>
        <c:manualLayout>
          <c:layoutTarget val="inner"/>
          <c:xMode val="edge"/>
          <c:yMode val="edge"/>
          <c:x val="0.23842724095064963"/>
          <c:y val="0.17944014346213619"/>
          <c:w val="0.69786681949419882"/>
          <c:h val="0.67411256305111367"/>
        </c:manualLayout>
      </c:layout>
      <c:barChart>
        <c:barDir val="bar"/>
        <c:grouping val="clustered"/>
        <c:varyColors val="0"/>
        <c:ser>
          <c:idx val="0"/>
          <c:order val="0"/>
          <c:tx>
            <c:strRef>
              <c:f>Pivot_Top_Chart_Tables!$B$3</c:f>
              <c:strCache>
                <c:ptCount val="1"/>
                <c:pt idx="0">
                  <c:v>Total</c:v>
                </c:pt>
              </c:strCache>
            </c:strRef>
          </c:tx>
          <c:spPr>
            <a:solidFill>
              <a:schemeClr val="tx2">
                <a:lumMod val="50000"/>
              </a:schemeClr>
            </a:solidFill>
          </c:spPr>
          <c:invertIfNegative val="0"/>
          <c:dLbls>
            <c:spPr/>
            <c:txPr>
              <a:bodyPr/>
              <a:lstStyle/>
              <a:p>
                <a:pPr>
                  <a:defRPr sz="1100"/>
                </a:pPr>
                <a:endParaRPr lang="id-ID"/>
              </a:p>
            </c:txPr>
            <c:dLblPos val="outEnd"/>
            <c:showLegendKey val="0"/>
            <c:showVal val="1"/>
            <c:showCatName val="0"/>
            <c:showSerName val="0"/>
            <c:showPercent val="0"/>
            <c:showBubbleSize val="0"/>
            <c:showLeaderLines val="0"/>
          </c:dLbls>
          <c:cat>
            <c:strRef>
              <c:f>Pivot_Top_Chart_Tables!$A$4:$A$7</c:f>
              <c:strCache>
                <c:ptCount val="3"/>
                <c:pt idx="0">
                  <c:v>Puma</c:v>
                </c:pt>
                <c:pt idx="1">
                  <c:v>Reebok</c:v>
                </c:pt>
                <c:pt idx="2">
                  <c:v>New Balance</c:v>
                </c:pt>
              </c:strCache>
            </c:strRef>
          </c:cat>
          <c:val>
            <c:numRef>
              <c:f>Pivot_Top_Chart_Tables!$B$4:$B$7</c:f>
              <c:numCache>
                <c:formatCode>[$$-409]#,\K</c:formatCode>
                <c:ptCount val="3"/>
                <c:pt idx="0">
                  <c:v>16114.059999999998</c:v>
                </c:pt>
                <c:pt idx="1">
                  <c:v>20113.669999999998</c:v>
                </c:pt>
                <c:pt idx="2">
                  <c:v>27014.850000000002</c:v>
                </c:pt>
              </c:numCache>
            </c:numRef>
          </c:val>
        </c:ser>
        <c:dLbls>
          <c:showLegendKey val="0"/>
          <c:showVal val="0"/>
          <c:showCatName val="0"/>
          <c:showSerName val="0"/>
          <c:showPercent val="0"/>
          <c:showBubbleSize val="0"/>
        </c:dLbls>
        <c:gapWidth val="150"/>
        <c:axId val="256634880"/>
        <c:axId val="256636416"/>
      </c:barChart>
      <c:catAx>
        <c:axId val="256634880"/>
        <c:scaling>
          <c:orientation val="minMax"/>
        </c:scaling>
        <c:delete val="0"/>
        <c:axPos val="l"/>
        <c:majorTickMark val="out"/>
        <c:minorTickMark val="none"/>
        <c:tickLblPos val="nextTo"/>
        <c:txPr>
          <a:bodyPr/>
          <a:lstStyle/>
          <a:p>
            <a:pPr>
              <a:defRPr sz="1400" b="1"/>
            </a:pPr>
            <a:endParaRPr lang="id-ID"/>
          </a:p>
        </c:txPr>
        <c:crossAx val="256636416"/>
        <c:crosses val="autoZero"/>
        <c:auto val="1"/>
        <c:lblAlgn val="ctr"/>
        <c:lblOffset val="100"/>
        <c:noMultiLvlLbl val="0"/>
      </c:catAx>
      <c:valAx>
        <c:axId val="256636416"/>
        <c:scaling>
          <c:orientation val="minMax"/>
        </c:scaling>
        <c:delete val="0"/>
        <c:axPos val="b"/>
        <c:numFmt formatCode="[$$-409]#,\K" sourceLinked="1"/>
        <c:majorTickMark val="out"/>
        <c:minorTickMark val="none"/>
        <c:tickLblPos val="nextTo"/>
        <c:txPr>
          <a:bodyPr/>
          <a:lstStyle/>
          <a:p>
            <a:pPr>
              <a:defRPr sz="1400" b="1"/>
            </a:pPr>
            <a:endParaRPr lang="id-ID"/>
          </a:p>
        </c:txPr>
        <c:crossAx val="256634880"/>
        <c:crosses val="autoZero"/>
        <c:crossBetween val="between"/>
      </c:valAx>
      <c:spPr>
        <a:noFill/>
        <a:effectLst>
          <a:glow>
            <a:schemeClr val="accent1">
              <a:alpha val="40000"/>
            </a:schemeClr>
          </a:glow>
          <a:outerShdw dist="50800" dir="5400000" sx="1000" sy="1000" algn="ctr" rotWithShape="0">
            <a:srgbClr val="000000"/>
          </a:outerShdw>
        </a:effectLst>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[Shoe_Sales_Analytics_Dashboard.xlsx]Pivot_Top_Chart_Tables!Top Channel</c:name>
    <c:fmtId val="18"/>
  </c:pivotSource>
  <c:chart>
    <c:title>
      <c:tx>
        <c:rich>
          <a:bodyPr/>
          <a:lstStyle/>
          <a:p>
            <a:pPr>
              <a:defRPr/>
            </a:pPr>
            <a:r>
              <a:rPr lang="en-US" sz="1800"/>
              <a:t>TOP</a:t>
            </a:r>
            <a:r>
              <a:rPr lang="en-US" sz="1800" baseline="0"/>
              <a:t> Channel</a:t>
            </a:r>
            <a:endParaRPr lang="en-US" sz="1800"/>
          </a:p>
        </c:rich>
      </c:tx>
      <c:layout>
        <c:manualLayout>
          <c:xMode val="edge"/>
          <c:yMode val="edge"/>
          <c:x val="0.36477052273978339"/>
          <c:y val="5.6224905220180803E-2"/>
        </c:manualLayout>
      </c:layout>
      <c:overlay val="0"/>
    </c:title>
    <c:autoTitleDeleted val="0"/>
    <c:pivotFmts>
      <c:pivotFmt>
        <c:idx val="0"/>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2"/>
        <c:spPr>
          <a:solidFill>
            <a:schemeClr val="tx2">
              <a:lumMod val="50000"/>
            </a:schemeClr>
          </a:solidFill>
        </c:spPr>
        <c:marker>
          <c:symbol val="none"/>
        </c:marker>
        <c:dLbl>
          <c:idx val="0"/>
          <c:layout/>
          <c:spPr/>
          <c:txPr>
            <a:bodyPr/>
            <a:lstStyle/>
            <a:p>
              <a:pPr>
                <a:defRPr sz="1100"/>
              </a:pPr>
              <a:endParaRPr lang="id-ID"/>
            </a:p>
          </c:txPr>
          <c:dLblPos val="outEnd"/>
          <c:showLegendKey val="0"/>
          <c:showVal val="1"/>
          <c:showCatName val="0"/>
          <c:showSerName val="0"/>
          <c:showPercent val="0"/>
          <c:showBubbleSize val="0"/>
        </c:dLbl>
      </c:pivotFmt>
      <c:pivotFmt>
        <c:idx val="3"/>
      </c:pivotFmt>
      <c:pivotFmt>
        <c:idx val="4"/>
      </c:pivotFmt>
    </c:pivotFmts>
    <c:plotArea>
      <c:layout>
        <c:manualLayout>
          <c:layoutTarget val="inner"/>
          <c:xMode val="edge"/>
          <c:yMode val="edge"/>
          <c:x val="0.23523064716739309"/>
          <c:y val="0.21567663175762858"/>
          <c:w val="0.69051609658159419"/>
          <c:h val="0.67134565452788375"/>
        </c:manualLayout>
      </c:layout>
      <c:barChart>
        <c:barDir val="bar"/>
        <c:grouping val="clustered"/>
        <c:varyColors val="0"/>
        <c:ser>
          <c:idx val="0"/>
          <c:order val="0"/>
          <c:tx>
            <c:strRef>
              <c:f>Pivot_Top_Chart_Tables!$H$3</c:f>
              <c:strCache>
                <c:ptCount val="1"/>
                <c:pt idx="0">
                  <c:v>Total</c:v>
                </c:pt>
              </c:strCache>
            </c:strRef>
          </c:tx>
          <c:spPr>
            <a:solidFill>
              <a:schemeClr val="tx2">
                <a:lumMod val="50000"/>
              </a:schemeClr>
            </a:solidFill>
          </c:spPr>
          <c:invertIfNegative val="0"/>
          <c:dLbls>
            <c:spPr/>
            <c:txPr>
              <a:bodyPr/>
              <a:lstStyle/>
              <a:p>
                <a:pPr>
                  <a:defRPr sz="1100"/>
                </a:pPr>
                <a:endParaRPr lang="id-ID"/>
              </a:p>
            </c:txPr>
            <c:dLblPos val="outEnd"/>
            <c:showLegendKey val="0"/>
            <c:showVal val="1"/>
            <c:showCatName val="0"/>
            <c:showSerName val="0"/>
            <c:showPercent val="0"/>
            <c:showBubbleSize val="0"/>
            <c:showLeaderLines val="0"/>
          </c:dLbls>
          <c:cat>
            <c:strRef>
              <c:f>Pivot_Top_Chart_Tables!$G$4:$G$7</c:f>
              <c:strCache>
                <c:ptCount val="3"/>
                <c:pt idx="0">
                  <c:v>Online</c:v>
                </c:pt>
                <c:pt idx="1">
                  <c:v>Mall</c:v>
                </c:pt>
                <c:pt idx="2">
                  <c:v>Retail Store</c:v>
                </c:pt>
              </c:strCache>
            </c:strRef>
          </c:cat>
          <c:val>
            <c:numRef>
              <c:f>Pivot_Top_Chart_Tables!$H$4:$H$7</c:f>
              <c:numCache>
                <c:formatCode>[$$-409]#,\K</c:formatCode>
                <c:ptCount val="3"/>
                <c:pt idx="0">
                  <c:v>19564.770000000004</c:v>
                </c:pt>
                <c:pt idx="1">
                  <c:v>38410.80000000001</c:v>
                </c:pt>
                <c:pt idx="2">
                  <c:v>40855.599999999999</c:v>
                </c:pt>
              </c:numCache>
            </c:numRef>
          </c:val>
        </c:ser>
        <c:dLbls>
          <c:dLblPos val="outEnd"/>
          <c:showLegendKey val="0"/>
          <c:showVal val="1"/>
          <c:showCatName val="0"/>
          <c:showSerName val="0"/>
          <c:showPercent val="0"/>
          <c:showBubbleSize val="0"/>
        </c:dLbls>
        <c:gapWidth val="150"/>
        <c:axId val="257712896"/>
        <c:axId val="257705856"/>
      </c:barChart>
      <c:valAx>
        <c:axId val="257705856"/>
        <c:scaling>
          <c:orientation val="minMax"/>
        </c:scaling>
        <c:delete val="0"/>
        <c:axPos val="b"/>
        <c:numFmt formatCode="[$$-409]#,\K" sourceLinked="1"/>
        <c:majorTickMark val="out"/>
        <c:minorTickMark val="none"/>
        <c:tickLblPos val="nextTo"/>
        <c:txPr>
          <a:bodyPr/>
          <a:lstStyle/>
          <a:p>
            <a:pPr>
              <a:defRPr sz="1200" b="1"/>
            </a:pPr>
            <a:endParaRPr lang="id-ID"/>
          </a:p>
        </c:txPr>
        <c:crossAx val="257712896"/>
        <c:crosses val="autoZero"/>
        <c:crossBetween val="between"/>
      </c:valAx>
      <c:catAx>
        <c:axId val="257712896"/>
        <c:scaling>
          <c:orientation val="minMax"/>
        </c:scaling>
        <c:delete val="0"/>
        <c:axPos val="l"/>
        <c:majorTickMark val="out"/>
        <c:minorTickMark val="none"/>
        <c:tickLblPos val="nextTo"/>
        <c:txPr>
          <a:bodyPr/>
          <a:lstStyle/>
          <a:p>
            <a:pPr>
              <a:defRPr sz="1400" b="1"/>
            </a:pPr>
            <a:endParaRPr lang="id-ID"/>
          </a:p>
        </c:txPr>
        <c:crossAx val="257705856"/>
        <c:crosses val="autoZero"/>
        <c:auto val="1"/>
        <c:lblAlgn val="ctr"/>
        <c:lblOffset val="100"/>
        <c:noMultiLvlLbl val="0"/>
      </c:cat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[Shoe_Sales_Analytics_Dashboard.xlsx]Pivot_Chart_Tables!Monthly Growth</c:name>
    <c:fmtId val="5"/>
  </c:pivotSource>
  <c:chart>
    <c:autoTitleDeleted val="1"/>
    <c:pivotFmts>
      <c:pivotFmt>
        <c:idx val="0"/>
      </c:pivotFmt>
      <c:pivotFmt>
        <c:idx val="1"/>
      </c:pivotFmt>
      <c:pivotFmt>
        <c:idx val="2"/>
        <c:spPr>
          <a:ln w="38100">
            <a:solidFill>
              <a:schemeClr val="tx2">
                <a:lumMod val="50000"/>
              </a:schemeClr>
            </a:solidFill>
          </a:ln>
        </c:spPr>
        <c:marker>
          <c:spPr>
            <a:solidFill>
              <a:schemeClr val="bg1"/>
            </a:solidFill>
            <a:ln w="38100">
              <a:solidFill>
                <a:schemeClr val="tx2">
                  <a:lumMod val="50000"/>
                </a:schemeClr>
              </a:solidFill>
            </a:ln>
          </c:spPr>
        </c:marker>
      </c:pivotFmt>
      <c:pivotFmt>
        <c:idx val="3"/>
        <c:dLbl>
          <c:idx val="0"/>
          <c:layout>
            <c:manualLayout>
              <c:x val="-8.0973581573331371E-2"/>
              <c:y val="5.3427694007884545E-2"/>
            </c:manualLayout>
          </c:layout>
          <c:dLblPos val="r"/>
          <c:showLegendKey val="0"/>
          <c:showVal val="1"/>
          <c:showCatName val="0"/>
          <c:showSerName val="0"/>
          <c:showPercent val="0"/>
          <c:showBubbleSize val="0"/>
        </c:dLbl>
      </c:pivotFmt>
      <c:pivotFmt>
        <c:idx val="4"/>
        <c:dLbl>
          <c:idx val="0"/>
          <c:layout>
            <c:manualLayout>
              <c:x val="-8.0973581573331371E-2"/>
              <c:y val="3.7233362024078877E-2"/>
            </c:manualLayout>
          </c:layout>
          <c:dLblPos val="r"/>
          <c:showLegendKey val="0"/>
          <c:showVal val="1"/>
          <c:showCatName val="0"/>
          <c:showSerName val="0"/>
          <c:showPercent val="0"/>
          <c:showBubbleSize val="0"/>
        </c:dLbl>
      </c:pivotFmt>
    </c:pivotFmts>
    <c:plotArea>
      <c:layout>
        <c:manualLayout>
          <c:layoutTarget val="inner"/>
          <c:xMode val="edge"/>
          <c:yMode val="edge"/>
          <c:x val="0.12346129223445809"/>
          <c:y val="9.0119732224483176E-2"/>
          <c:w val="0.80706015942295473"/>
          <c:h val="0.81554690495148785"/>
        </c:manualLayout>
      </c:layout>
      <c:lineChart>
        <c:grouping val="standard"/>
        <c:varyColors val="0"/>
        <c:ser>
          <c:idx val="0"/>
          <c:order val="0"/>
          <c:tx>
            <c:strRef>
              <c:f>Pivot_Chart_Tables!$F$2</c:f>
              <c:strCache>
                <c:ptCount val="1"/>
                <c:pt idx="0">
                  <c:v>Total</c:v>
                </c:pt>
              </c:strCache>
            </c:strRef>
          </c:tx>
          <c:spPr>
            <a:ln w="38100">
              <a:solidFill>
                <a:schemeClr val="tx2">
                  <a:lumMod val="50000"/>
                </a:schemeClr>
              </a:solidFill>
            </a:ln>
          </c:spPr>
          <c:marker>
            <c:spPr>
              <a:solidFill>
                <a:schemeClr val="bg1"/>
              </a:solidFill>
              <a:ln w="38100">
                <a:solidFill>
                  <a:schemeClr val="tx2">
                    <a:lumMod val="50000"/>
                  </a:schemeClr>
                </a:solidFill>
              </a:ln>
            </c:spPr>
          </c:marker>
          <c:cat>
            <c:strRef>
              <c:f>Pivot_Chart_Tables!$E$3:$E$15</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Pivot_Chart_Tables!$F$3:$F$15</c:f>
              <c:numCache>
                <c:formatCode>0.00%</c:formatCode>
                <c:ptCount val="12"/>
                <c:pt idx="1">
                  <c:v>0.24986425856044864</c:v>
                </c:pt>
                <c:pt idx="2">
                  <c:v>-7.9804281147905859E-2</c:v>
                </c:pt>
                <c:pt idx="3">
                  <c:v>-2.2772082301891872E-2</c:v>
                </c:pt>
                <c:pt idx="4">
                  <c:v>8.5391984699883808E-2</c:v>
                </c:pt>
                <c:pt idx="5">
                  <c:v>9.2734844566659848E-3</c:v>
                </c:pt>
                <c:pt idx="6">
                  <c:v>0.10563837351328298</c:v>
                </c:pt>
                <c:pt idx="7">
                  <c:v>-0.31353756287619539</c:v>
                </c:pt>
                <c:pt idx="8">
                  <c:v>2.6916041281889111E-2</c:v>
                </c:pt>
                <c:pt idx="9">
                  <c:v>0.48461725182450122</c:v>
                </c:pt>
                <c:pt idx="10">
                  <c:v>-0.10348460666194821</c:v>
                </c:pt>
                <c:pt idx="11">
                  <c:v>-2.7299535747107168E-2</c:v>
                </c:pt>
              </c:numCache>
            </c:numRef>
          </c:val>
          <c:smooth val="0"/>
        </c:ser>
        <c:dLbls>
          <c:showLegendKey val="0"/>
          <c:showVal val="0"/>
          <c:showCatName val="0"/>
          <c:showSerName val="0"/>
          <c:showPercent val="0"/>
          <c:showBubbleSize val="0"/>
        </c:dLbls>
        <c:marker val="1"/>
        <c:smooth val="0"/>
        <c:axId val="262228224"/>
        <c:axId val="262230400"/>
      </c:lineChart>
      <c:catAx>
        <c:axId val="262228224"/>
        <c:scaling>
          <c:orientation val="minMax"/>
        </c:scaling>
        <c:delete val="0"/>
        <c:axPos val="b"/>
        <c:majorTickMark val="out"/>
        <c:minorTickMark val="none"/>
        <c:tickLblPos val="nextTo"/>
        <c:crossAx val="262230400"/>
        <c:crosses val="autoZero"/>
        <c:auto val="1"/>
        <c:lblAlgn val="ctr"/>
        <c:lblOffset val="100"/>
        <c:noMultiLvlLbl val="0"/>
      </c:catAx>
      <c:valAx>
        <c:axId val="262230400"/>
        <c:scaling>
          <c:orientation val="minMax"/>
        </c:scaling>
        <c:delete val="0"/>
        <c:axPos val="l"/>
        <c:numFmt formatCode="0.00%" sourceLinked="1"/>
        <c:majorTickMark val="out"/>
        <c:minorTickMark val="none"/>
        <c:tickLblPos val="nextTo"/>
        <c:crossAx val="262228224"/>
        <c:crosses val="autoZero"/>
        <c:crossBetween val="between"/>
      </c:valAx>
      <c:spPr>
        <a:noFill/>
      </c:spPr>
    </c:plotArea>
    <c:plotVisOnly val="1"/>
    <c:dispBlanksAs val="gap"/>
    <c:showDLblsOverMax val="0"/>
  </c:chart>
  <c:spPr>
    <a:solidFill>
      <a:schemeClr val="bg1">
        <a:alpha val="82000"/>
      </a:schemeClr>
    </a:solidFill>
    <a:ln>
      <a:no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[Shoe_Sales_Analytics_Dashboard.xlsx]Pivot_Chart_Tables!Monthly Revenue</c:name>
    <c:fmtId val="7"/>
  </c:pivotSource>
  <c:chart>
    <c:autoTitleDeleted val="1"/>
    <c:pivotFmts>
      <c:pivotFmt>
        <c:idx val="0"/>
      </c:pivotFmt>
      <c:pivotFmt>
        <c:idx val="1"/>
        <c:dLbl>
          <c:idx val="0"/>
          <c:showLegendKey val="1"/>
          <c:showVal val="1"/>
          <c:showCatName val="1"/>
          <c:showSerName val="1"/>
          <c:showPercent val="1"/>
          <c:showBubbleSize val="1"/>
        </c:dLbl>
      </c:pivotFmt>
      <c:pivotFmt>
        <c:idx val="2"/>
        <c:marker>
          <c:spPr>
            <a:solidFill>
              <a:schemeClr val="tx2">
                <a:lumMod val="50000"/>
              </a:schemeClr>
            </a:solidFill>
          </c:spPr>
        </c:marker>
        <c:dLbl>
          <c:idx val="0"/>
          <c:dLblPos val="b"/>
          <c:showLegendKey val="0"/>
          <c:showVal val="1"/>
          <c:showCatName val="0"/>
          <c:showSerName val="0"/>
          <c:showPercent val="0"/>
          <c:showBubbleSize val="0"/>
        </c:dLbl>
      </c:pivotFmt>
      <c:pivotFmt>
        <c:idx val="3"/>
      </c:pivotFmt>
      <c:pivotFmt>
        <c:idx val="4"/>
      </c:pivotFmt>
      <c:pivotFmt>
        <c:idx val="5"/>
        <c:marker>
          <c:spPr>
            <a:solidFill>
              <a:schemeClr val="tx2">
                <a:lumMod val="50000"/>
              </a:schemeClr>
            </a:solidFill>
          </c:spPr>
        </c:marker>
        <c:dLbl>
          <c:idx val="0"/>
          <c:spPr/>
          <c:txPr>
            <a:bodyPr/>
            <a:lstStyle/>
            <a:p>
              <a:pPr>
                <a:defRPr/>
              </a:pPr>
              <a:endParaRPr lang="id-ID"/>
            </a:p>
          </c:txPr>
          <c:dLblPos val="b"/>
          <c:showLegendKey val="0"/>
          <c:showVal val="1"/>
          <c:showCatName val="0"/>
          <c:showSerName val="0"/>
          <c:showPercent val="0"/>
          <c:showBubbleSize val="0"/>
        </c:dLbl>
      </c:pivotFmt>
      <c:pivotFmt>
        <c:idx val="6"/>
        <c:marker>
          <c:spPr>
            <a:solidFill>
              <a:schemeClr val="tx2">
                <a:lumMod val="50000"/>
              </a:schemeClr>
            </a:solidFill>
          </c:spPr>
        </c:marker>
        <c:dLbl>
          <c:idx val="0"/>
          <c:spPr/>
          <c:txPr>
            <a:bodyPr/>
            <a:lstStyle/>
            <a:p>
              <a:pPr>
                <a:defRPr/>
              </a:pPr>
              <a:endParaRPr lang="id-ID"/>
            </a:p>
          </c:txPr>
          <c:dLblPos val="b"/>
          <c:showLegendKey val="0"/>
          <c:showVal val="1"/>
          <c:showCatName val="0"/>
          <c:showSerName val="0"/>
          <c:showPercent val="0"/>
          <c:showBubbleSize val="0"/>
        </c:dLbl>
      </c:pivotFmt>
      <c:pivotFmt>
        <c:idx val="7"/>
        <c:marker>
          <c:spPr>
            <a:solidFill>
              <a:schemeClr val="tx2">
                <a:lumMod val="50000"/>
              </a:schemeClr>
            </a:solidFill>
          </c:spPr>
        </c:marker>
        <c:dLbl>
          <c:idx val="0"/>
          <c:spPr/>
          <c:txPr>
            <a:bodyPr/>
            <a:lstStyle/>
            <a:p>
              <a:pPr>
                <a:defRPr/>
              </a:pPr>
              <a:endParaRPr lang="id-ID"/>
            </a:p>
          </c:txPr>
          <c:dLblPos val="b"/>
          <c:showLegendKey val="0"/>
          <c:showVal val="1"/>
          <c:showCatName val="0"/>
          <c:showSerName val="0"/>
          <c:showPercent val="0"/>
          <c:showBubbleSize val="0"/>
        </c:dLbl>
      </c:pivotFmt>
      <c:pivotFmt>
        <c:idx val="8"/>
        <c:spPr>
          <a:ln w="38100">
            <a:solidFill>
              <a:schemeClr val="tx2">
                <a:lumMod val="50000"/>
              </a:schemeClr>
            </a:solidFill>
          </a:ln>
        </c:spPr>
        <c:marker>
          <c:spPr>
            <a:solidFill>
              <a:schemeClr val="bg1"/>
            </a:solidFill>
            <a:ln w="38100">
              <a:solidFill>
                <a:schemeClr val="tx2">
                  <a:lumMod val="50000"/>
                </a:schemeClr>
              </a:solidFill>
            </a:ln>
          </c:spPr>
        </c:marker>
      </c:pivotFmt>
    </c:pivotFmts>
    <c:plotArea>
      <c:layout>
        <c:manualLayout>
          <c:layoutTarget val="inner"/>
          <c:xMode val="edge"/>
          <c:yMode val="edge"/>
          <c:x val="0.11720901259869322"/>
          <c:y val="9.3083360827138917E-2"/>
          <c:w val="0.81812334236986128"/>
          <c:h val="0.77664120407604964"/>
        </c:manualLayout>
      </c:layout>
      <c:lineChart>
        <c:grouping val="standard"/>
        <c:varyColors val="0"/>
        <c:ser>
          <c:idx val="0"/>
          <c:order val="0"/>
          <c:tx>
            <c:strRef>
              <c:f>Pivot_Chart_Tables!$C$2</c:f>
              <c:strCache>
                <c:ptCount val="1"/>
                <c:pt idx="0">
                  <c:v>Total</c:v>
                </c:pt>
              </c:strCache>
            </c:strRef>
          </c:tx>
          <c:spPr>
            <a:ln w="38100">
              <a:solidFill>
                <a:schemeClr val="tx2">
                  <a:lumMod val="50000"/>
                </a:schemeClr>
              </a:solidFill>
            </a:ln>
          </c:spPr>
          <c:marker>
            <c:spPr>
              <a:solidFill>
                <a:schemeClr val="bg1"/>
              </a:solidFill>
              <a:ln w="38100">
                <a:solidFill>
                  <a:schemeClr val="tx2">
                    <a:lumMod val="50000"/>
                  </a:schemeClr>
                </a:solidFill>
              </a:ln>
            </c:spPr>
          </c:marker>
          <c:cat>
            <c:strRef>
              <c:f>Pivot_Chart_Tables!$B$3:$B$15</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Pivot_Chart_Tables!$C$3:$C$15</c:f>
              <c:numCache>
                <c:formatCode>[$$-409]#,\K</c:formatCode>
                <c:ptCount val="12"/>
                <c:pt idx="0">
                  <c:v>102989.92000000003</c:v>
                </c:pt>
                <c:pt idx="1">
                  <c:v>128723.41999999995</c:v>
                </c:pt>
                <c:pt idx="2">
                  <c:v>118450.73999999999</c:v>
                </c:pt>
                <c:pt idx="3">
                  <c:v>115753.37</c:v>
                </c:pt>
                <c:pt idx="4">
                  <c:v>125637.77999999998</c:v>
                </c:pt>
                <c:pt idx="5">
                  <c:v>126802.88</c:v>
                </c:pt>
                <c:pt idx="6">
                  <c:v>140198.13</c:v>
                </c:pt>
                <c:pt idx="7">
                  <c:v>96240.749999999985</c:v>
                </c:pt>
                <c:pt idx="8">
                  <c:v>98831.169999999955</c:v>
                </c:pt>
                <c:pt idx="9">
                  <c:v>146726.46000000002</c:v>
                </c:pt>
                <c:pt idx="10">
                  <c:v>131542.52999999994</c:v>
                </c:pt>
                <c:pt idx="11">
                  <c:v>127951.48000000003</c:v>
                </c:pt>
              </c:numCache>
            </c:numRef>
          </c:val>
          <c:smooth val="0"/>
        </c:ser>
        <c:dLbls>
          <c:showLegendKey val="0"/>
          <c:showVal val="0"/>
          <c:showCatName val="0"/>
          <c:showSerName val="0"/>
          <c:showPercent val="0"/>
          <c:showBubbleSize val="0"/>
        </c:dLbls>
        <c:upDownBars>
          <c:gapWidth val="150"/>
          <c:upBars/>
          <c:downBars/>
        </c:upDownBars>
        <c:marker val="1"/>
        <c:smooth val="0"/>
        <c:axId val="257754240"/>
        <c:axId val="262258048"/>
      </c:lineChart>
      <c:catAx>
        <c:axId val="257754240"/>
        <c:scaling>
          <c:orientation val="minMax"/>
        </c:scaling>
        <c:delete val="0"/>
        <c:axPos val="b"/>
        <c:majorTickMark val="out"/>
        <c:minorTickMark val="none"/>
        <c:tickLblPos val="nextTo"/>
        <c:txPr>
          <a:bodyPr/>
          <a:lstStyle/>
          <a:p>
            <a:pPr>
              <a:defRPr b="0"/>
            </a:pPr>
            <a:endParaRPr lang="id-ID"/>
          </a:p>
        </c:txPr>
        <c:crossAx val="262258048"/>
        <c:crosses val="autoZero"/>
        <c:auto val="1"/>
        <c:lblAlgn val="ctr"/>
        <c:lblOffset val="100"/>
        <c:noMultiLvlLbl val="0"/>
      </c:catAx>
      <c:valAx>
        <c:axId val="262258048"/>
        <c:scaling>
          <c:orientation val="minMax"/>
        </c:scaling>
        <c:delete val="0"/>
        <c:axPos val="l"/>
        <c:numFmt formatCode="[$$-409]#,\K" sourceLinked="1"/>
        <c:majorTickMark val="out"/>
        <c:minorTickMark val="none"/>
        <c:tickLblPos val="nextTo"/>
        <c:txPr>
          <a:bodyPr/>
          <a:lstStyle/>
          <a:p>
            <a:pPr>
              <a:defRPr b="0">
                <a:latin typeface="+mn-lt"/>
              </a:defRPr>
            </a:pPr>
            <a:endParaRPr lang="id-ID"/>
          </a:p>
        </c:txPr>
        <c:crossAx val="257754240"/>
        <c:crosses val="autoZero"/>
        <c:crossBetween val="between"/>
      </c:valAx>
      <c:spPr>
        <a:noFill/>
      </c:spPr>
    </c:plotArea>
    <c:plotVisOnly val="1"/>
    <c:dispBlanksAs val="gap"/>
    <c:showDLblsOverMax val="0"/>
  </c:chart>
  <c:spPr>
    <a:solidFill>
      <a:schemeClr val="bg1">
        <a:alpha val="82000"/>
      </a:schemeClr>
    </a:solidFill>
    <a:ln>
      <a:no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[Shoe_Sales_Analytics_Dashboard.xlsx]Pivot_Chart_Tables!Total Rev by Brand</c:name>
    <c:fmtId val="5"/>
  </c:pivotSource>
  <c:chart>
    <c:autoTitleDeleted val="1"/>
    <c:pivotFmts>
      <c:pivotFmt>
        <c:idx val="0"/>
        <c:dLbl>
          <c:idx val="0"/>
          <c:spPr/>
          <c:txPr>
            <a:bodyPr/>
            <a:lstStyle/>
            <a:p>
              <a:pPr>
                <a:defRPr/>
              </a:pPr>
              <a:endParaRPr lang="id-ID"/>
            </a:p>
          </c:txPr>
          <c:showLegendKey val="1"/>
          <c:showVal val="1"/>
          <c:showCatName val="1"/>
          <c:showSerName val="1"/>
          <c:showPercent val="1"/>
          <c:showBubbleSize val="1"/>
        </c:dLbl>
      </c:pivotFmt>
      <c:pivotFmt>
        <c:idx val="1"/>
        <c:dLbl>
          <c:idx val="0"/>
          <c:spPr/>
          <c:txPr>
            <a:bodyPr/>
            <a:lstStyle/>
            <a:p>
              <a:pPr>
                <a:defRPr/>
              </a:pPr>
              <a:endParaRPr lang="id-ID"/>
            </a:p>
          </c:txPr>
          <c:showLegendKey val="1"/>
          <c:showVal val="1"/>
          <c:showCatName val="1"/>
          <c:showSerName val="1"/>
          <c:showPercent val="1"/>
          <c:showBubbleSize val="1"/>
        </c:dLbl>
      </c:pivotFmt>
      <c:pivotFmt>
        <c:idx val="2"/>
        <c:spPr>
          <a:solidFill>
            <a:schemeClr val="tx2">
              <a:lumMod val="50000"/>
            </a:schemeClr>
          </a:solidFill>
        </c:spPr>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3"/>
        <c:spPr>
          <a:solidFill>
            <a:schemeClr val="tx2">
              <a:lumMod val="50000"/>
            </a:schemeClr>
          </a:solidFill>
        </c:spPr>
        <c:marker>
          <c:symbol val="none"/>
        </c:marker>
        <c:dLbl>
          <c:idx val="0"/>
          <c:layout/>
          <c:spPr/>
          <c:txPr>
            <a:bodyPr/>
            <a:lstStyle/>
            <a:p>
              <a:pPr>
                <a:defRPr sz="1100" b="1"/>
              </a:pPr>
              <a:endParaRPr lang="id-ID"/>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Pivot_Chart_Tables!$L$2</c:f>
              <c:strCache>
                <c:ptCount val="1"/>
                <c:pt idx="0">
                  <c:v>Total</c:v>
                </c:pt>
              </c:strCache>
            </c:strRef>
          </c:tx>
          <c:spPr>
            <a:solidFill>
              <a:schemeClr val="tx2">
                <a:lumMod val="50000"/>
              </a:schemeClr>
            </a:solidFill>
          </c:spPr>
          <c:invertIfNegative val="0"/>
          <c:dLbls>
            <c:spPr/>
            <c:txPr>
              <a:bodyPr/>
              <a:lstStyle/>
              <a:p>
                <a:pPr>
                  <a:defRPr sz="1100" b="1"/>
                </a:pPr>
                <a:endParaRPr lang="id-ID"/>
              </a:p>
            </c:txPr>
            <c:dLblPos val="outEnd"/>
            <c:showLegendKey val="0"/>
            <c:showVal val="1"/>
            <c:showCatName val="0"/>
            <c:showSerName val="0"/>
            <c:showPercent val="0"/>
            <c:showBubbleSize val="0"/>
            <c:showLeaderLines val="0"/>
          </c:dLbls>
          <c:cat>
            <c:strRef>
              <c:f>Pivot_Chart_Tables!$K$3:$K$9</c:f>
              <c:strCache>
                <c:ptCount val="6"/>
                <c:pt idx="0">
                  <c:v>Skechers</c:v>
                </c:pt>
                <c:pt idx="1">
                  <c:v>Nike</c:v>
                </c:pt>
                <c:pt idx="2">
                  <c:v>Adidas</c:v>
                </c:pt>
                <c:pt idx="3">
                  <c:v>Puma</c:v>
                </c:pt>
                <c:pt idx="4">
                  <c:v>Reebok</c:v>
                </c:pt>
                <c:pt idx="5">
                  <c:v>New Balance</c:v>
                </c:pt>
              </c:strCache>
            </c:strRef>
          </c:cat>
          <c:val>
            <c:numRef>
              <c:f>Pivot_Chart_Tables!$L$3:$L$9</c:f>
              <c:numCache>
                <c:formatCode>[$$-409]#,\K</c:formatCode>
                <c:ptCount val="6"/>
                <c:pt idx="0">
                  <c:v>9394.39</c:v>
                </c:pt>
                <c:pt idx="1">
                  <c:v>12565.169999999998</c:v>
                </c:pt>
                <c:pt idx="2">
                  <c:v>13629.030000000002</c:v>
                </c:pt>
                <c:pt idx="3">
                  <c:v>16114.059999999998</c:v>
                </c:pt>
                <c:pt idx="4">
                  <c:v>20113.669999999998</c:v>
                </c:pt>
                <c:pt idx="5">
                  <c:v>27014.850000000002</c:v>
                </c:pt>
              </c:numCache>
            </c:numRef>
          </c:val>
        </c:ser>
        <c:dLbls>
          <c:dLblPos val="outEnd"/>
          <c:showLegendKey val="0"/>
          <c:showVal val="1"/>
          <c:showCatName val="0"/>
          <c:showSerName val="0"/>
          <c:showPercent val="0"/>
          <c:showBubbleSize val="0"/>
        </c:dLbls>
        <c:gapWidth val="150"/>
        <c:axId val="257793408"/>
        <c:axId val="257812736"/>
      </c:barChart>
      <c:catAx>
        <c:axId val="257793408"/>
        <c:scaling>
          <c:orientation val="minMax"/>
        </c:scaling>
        <c:delete val="0"/>
        <c:axPos val="b"/>
        <c:majorTickMark val="out"/>
        <c:minorTickMark val="none"/>
        <c:tickLblPos val="nextTo"/>
        <c:txPr>
          <a:bodyPr/>
          <a:lstStyle/>
          <a:p>
            <a:pPr>
              <a:defRPr sz="1200" b="0"/>
            </a:pPr>
            <a:endParaRPr lang="id-ID"/>
          </a:p>
        </c:txPr>
        <c:crossAx val="257812736"/>
        <c:crosses val="autoZero"/>
        <c:auto val="1"/>
        <c:lblAlgn val="ctr"/>
        <c:lblOffset val="100"/>
        <c:noMultiLvlLbl val="0"/>
      </c:catAx>
      <c:valAx>
        <c:axId val="257812736"/>
        <c:scaling>
          <c:orientation val="minMax"/>
        </c:scaling>
        <c:delete val="0"/>
        <c:axPos val="l"/>
        <c:numFmt formatCode="[$$-409]#,\K" sourceLinked="1"/>
        <c:majorTickMark val="out"/>
        <c:minorTickMark val="none"/>
        <c:tickLblPos val="nextTo"/>
        <c:crossAx val="257793408"/>
        <c:crosses val="autoZero"/>
        <c:crossBetween val="between"/>
      </c:valAx>
      <c:spPr>
        <a:noFill/>
      </c:spPr>
    </c:plotArea>
    <c:plotVisOnly val="1"/>
    <c:dispBlanksAs val="gap"/>
    <c:showDLblsOverMax val="0"/>
  </c:chart>
  <c:spPr>
    <a:noFill/>
    <a:ln>
      <a:no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[Shoe_Sales_Analytics_Dashboard.xlsx]Pivot_Chart_Tables!Total Trans by brand</c:name>
    <c:fmtId val="9"/>
  </c:pivotSource>
  <c:chart>
    <c:autoTitleDeleted val="1"/>
    <c:pivotFmts>
      <c:pivotFmt>
        <c:idx val="0"/>
        <c:marker>
          <c:symbol val="none"/>
        </c:marker>
      </c:pivotFmt>
      <c:pivotFmt>
        <c:idx val="1"/>
        <c:marker>
          <c:symbol val="none"/>
        </c:marker>
      </c:pivotFmt>
      <c:pivotFmt>
        <c:idx val="2"/>
        <c:spPr>
          <a:solidFill>
            <a:schemeClr val="tx2">
              <a:lumMod val="50000"/>
            </a:schemeClr>
          </a:solidFill>
        </c:spPr>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3"/>
        <c:spPr>
          <a:solidFill>
            <a:schemeClr val="tx2">
              <a:lumMod val="50000"/>
            </a:schemeClr>
          </a:solidFill>
        </c:spPr>
        <c:marker>
          <c:symbol val="none"/>
        </c:marker>
        <c:dLbl>
          <c:idx val="0"/>
          <c:layout/>
          <c:spPr/>
          <c:txPr>
            <a:bodyPr/>
            <a:lstStyle/>
            <a:p>
              <a:pPr>
                <a:defRPr sz="1100" b="1"/>
              </a:pPr>
              <a:endParaRPr lang="id-ID"/>
            </a:p>
          </c:txPr>
          <c:dLblPos val="outEnd"/>
          <c:showLegendKey val="0"/>
          <c:showVal val="1"/>
          <c:showCatName val="0"/>
          <c:showSerName val="0"/>
          <c:showPercent val="0"/>
          <c:showBubbleSize val="0"/>
        </c:dLbl>
      </c:pivotFmt>
    </c:pivotFmts>
    <c:plotArea>
      <c:layout>
        <c:manualLayout>
          <c:layoutTarget val="inner"/>
          <c:xMode val="edge"/>
          <c:yMode val="edge"/>
          <c:x val="7.3253594475508582E-2"/>
          <c:y val="4.9374675623174227E-2"/>
          <c:w val="0.89558353115778944"/>
          <c:h val="0.84348176816880938"/>
        </c:manualLayout>
      </c:layout>
      <c:barChart>
        <c:barDir val="col"/>
        <c:grouping val="clustered"/>
        <c:varyColors val="0"/>
        <c:ser>
          <c:idx val="0"/>
          <c:order val="0"/>
          <c:tx>
            <c:strRef>
              <c:f>Pivot_Chart_Tables!$I$2</c:f>
              <c:strCache>
                <c:ptCount val="1"/>
                <c:pt idx="0">
                  <c:v>Total</c:v>
                </c:pt>
              </c:strCache>
            </c:strRef>
          </c:tx>
          <c:spPr>
            <a:solidFill>
              <a:schemeClr val="tx2">
                <a:lumMod val="50000"/>
              </a:schemeClr>
            </a:solidFill>
          </c:spPr>
          <c:invertIfNegative val="0"/>
          <c:dLbls>
            <c:spPr/>
            <c:txPr>
              <a:bodyPr/>
              <a:lstStyle/>
              <a:p>
                <a:pPr>
                  <a:defRPr sz="1100" b="1"/>
                </a:pPr>
                <a:endParaRPr lang="id-ID"/>
              </a:p>
            </c:txPr>
            <c:dLblPos val="outEnd"/>
            <c:showLegendKey val="0"/>
            <c:showVal val="1"/>
            <c:showCatName val="0"/>
            <c:showSerName val="0"/>
            <c:showPercent val="0"/>
            <c:showBubbleSize val="0"/>
            <c:showLeaderLines val="0"/>
          </c:dLbls>
          <c:cat>
            <c:strRef>
              <c:f>Pivot_Chart_Tables!$H$3:$H$6</c:f>
              <c:strCache>
                <c:ptCount val="3"/>
                <c:pt idx="0">
                  <c:v>Online</c:v>
                </c:pt>
                <c:pt idx="1">
                  <c:v>Mall</c:v>
                </c:pt>
                <c:pt idx="2">
                  <c:v>Retail Store</c:v>
                </c:pt>
              </c:strCache>
            </c:strRef>
          </c:cat>
          <c:val>
            <c:numRef>
              <c:f>Pivot_Chart_Tables!$I$3:$I$6</c:f>
              <c:numCache>
                <c:formatCode>0</c:formatCode>
                <c:ptCount val="3"/>
                <c:pt idx="0">
                  <c:v>19</c:v>
                </c:pt>
                <c:pt idx="1">
                  <c:v>25</c:v>
                </c:pt>
                <c:pt idx="2">
                  <c:v>26</c:v>
                </c:pt>
              </c:numCache>
            </c:numRef>
          </c:val>
        </c:ser>
        <c:dLbls>
          <c:dLblPos val="outEnd"/>
          <c:showLegendKey val="0"/>
          <c:showVal val="1"/>
          <c:showCatName val="0"/>
          <c:showSerName val="0"/>
          <c:showPercent val="0"/>
          <c:showBubbleSize val="0"/>
        </c:dLbls>
        <c:gapWidth val="150"/>
        <c:axId val="257840256"/>
        <c:axId val="257847296"/>
      </c:barChart>
      <c:catAx>
        <c:axId val="257840256"/>
        <c:scaling>
          <c:orientation val="minMax"/>
        </c:scaling>
        <c:delete val="0"/>
        <c:axPos val="b"/>
        <c:majorTickMark val="out"/>
        <c:minorTickMark val="none"/>
        <c:tickLblPos val="nextTo"/>
        <c:txPr>
          <a:bodyPr/>
          <a:lstStyle/>
          <a:p>
            <a:pPr>
              <a:defRPr sz="1200"/>
            </a:pPr>
            <a:endParaRPr lang="id-ID"/>
          </a:p>
        </c:txPr>
        <c:crossAx val="257847296"/>
        <c:crosses val="autoZero"/>
        <c:auto val="1"/>
        <c:lblAlgn val="ctr"/>
        <c:lblOffset val="100"/>
        <c:noMultiLvlLbl val="0"/>
      </c:catAx>
      <c:valAx>
        <c:axId val="257847296"/>
        <c:scaling>
          <c:orientation val="minMax"/>
        </c:scaling>
        <c:delete val="0"/>
        <c:axPos val="l"/>
        <c:numFmt formatCode="0" sourceLinked="1"/>
        <c:majorTickMark val="out"/>
        <c:minorTickMark val="none"/>
        <c:tickLblPos val="nextTo"/>
        <c:crossAx val="257840256"/>
        <c:crosses val="autoZero"/>
        <c:crossBetween val="between"/>
      </c:valAx>
      <c:spPr>
        <a:noFill/>
      </c:spPr>
    </c:plotArea>
    <c:plotVisOnly val="1"/>
    <c:dispBlanksAs val="gap"/>
    <c:showDLblsOverMax val="0"/>
  </c:chart>
  <c:spPr>
    <a:noFill/>
    <a:ln>
      <a:no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27"/>
    </mc:Choice>
    <mc:Fallback>
      <c:style val="27"/>
    </mc:Fallback>
  </mc:AlternateContent>
  <c:pivotSource>
    <c:name>[Shoe_Sales_Analytics_Dashboard.xlsx]Pivot_Contribution_Tabels!Brand Contribution</c:name>
    <c:fmtId val="5"/>
  </c:pivotSource>
  <c:chart>
    <c:title>
      <c:tx>
        <c:rich>
          <a:bodyPr/>
          <a:lstStyle/>
          <a:p>
            <a:pPr>
              <a:defRPr/>
            </a:pPr>
            <a:r>
              <a:rPr lang="id-ID"/>
              <a:t>Brand Revenue Contribution</a:t>
            </a:r>
          </a:p>
        </c:rich>
      </c:tx>
      <c:layout/>
      <c:overlay val="0"/>
    </c:title>
    <c:autoTitleDeleted val="0"/>
    <c:pivotFmts>
      <c:pivotFmt>
        <c:idx val="0"/>
      </c:pivotFmt>
      <c:pivotFmt>
        <c:idx val="1"/>
      </c:pivotFmt>
      <c:pivotFmt>
        <c:idx val="2"/>
        <c:marker>
          <c:symbol val="none"/>
        </c:marker>
        <c:dLbl>
          <c:idx val="0"/>
          <c:showLegendKey val="0"/>
          <c:showVal val="0"/>
          <c:showCatName val="0"/>
          <c:showSerName val="0"/>
          <c:showPercent val="1"/>
          <c:showBubbleSize val="0"/>
        </c:dLbl>
      </c:pivotFmt>
      <c:pivotFmt>
        <c:idx val="3"/>
        <c:marker>
          <c:symbol val="none"/>
        </c:marker>
        <c:dLbl>
          <c:idx val="0"/>
          <c:spPr/>
          <c:txPr>
            <a:bodyPr/>
            <a:lstStyle/>
            <a:p>
              <a:pPr>
                <a:defRPr/>
              </a:pPr>
              <a:endParaRPr lang="id-ID"/>
            </a:p>
          </c:txPr>
          <c:showLegendKey val="0"/>
          <c:showVal val="0"/>
          <c:showCatName val="0"/>
          <c:showSerName val="0"/>
          <c:showPercent val="1"/>
          <c:showBubbleSize val="0"/>
        </c:dLbl>
      </c:pivotFmt>
      <c:pivotFmt>
        <c:idx val="4"/>
        <c:marker>
          <c:symbol val="none"/>
        </c:marker>
        <c:dLbl>
          <c:idx val="0"/>
          <c:spPr/>
          <c:txPr>
            <a:bodyPr/>
            <a:lstStyle/>
            <a:p>
              <a:pPr>
                <a:defRPr/>
              </a:pPr>
              <a:endParaRPr lang="id-ID"/>
            </a:p>
          </c:txPr>
          <c:showLegendKey val="0"/>
          <c:showVal val="0"/>
          <c:showCatName val="0"/>
          <c:showSerName val="0"/>
          <c:showPercent val="1"/>
          <c:showBubbleSize val="0"/>
        </c:dLbl>
      </c:pivotFmt>
      <c:pivotFmt>
        <c:idx val="5"/>
        <c:marker>
          <c:symbol val="none"/>
        </c:marker>
        <c:dLbl>
          <c:idx val="0"/>
          <c:spPr/>
          <c:txPr>
            <a:bodyPr/>
            <a:lstStyle/>
            <a:p>
              <a:pPr>
                <a:defRPr/>
              </a:pPr>
              <a:endParaRPr lang="id-ID"/>
            </a:p>
          </c:txPr>
          <c:showLegendKey val="0"/>
          <c:showVal val="0"/>
          <c:showCatName val="0"/>
          <c:showSerName val="0"/>
          <c:showPercent val="1"/>
          <c:showBubbleSize val="0"/>
        </c:dLbl>
      </c:pivotFmt>
      <c:pivotFmt>
        <c:idx val="6"/>
        <c:marker>
          <c:symbol val="none"/>
        </c:marker>
        <c:dLbl>
          <c:idx val="0"/>
          <c:spPr/>
          <c:txPr>
            <a:bodyPr/>
            <a:lstStyle/>
            <a:p>
              <a:pPr>
                <a:defRPr/>
              </a:pPr>
              <a:endParaRPr lang="id-ID"/>
            </a:p>
          </c:txPr>
          <c:showLegendKey val="0"/>
          <c:showVal val="0"/>
          <c:showCatName val="0"/>
          <c:showSerName val="0"/>
          <c:showPercent val="1"/>
          <c:showBubbleSize val="0"/>
        </c:dLbl>
      </c:pivotFmt>
      <c:pivotFmt>
        <c:idx val="7"/>
        <c:marker>
          <c:symbol val="none"/>
        </c:marker>
        <c:dLbl>
          <c:idx val="0"/>
          <c:spPr/>
          <c:txPr>
            <a:bodyPr/>
            <a:lstStyle/>
            <a:p>
              <a:pPr>
                <a:defRPr/>
              </a:pPr>
              <a:endParaRPr lang="id-ID"/>
            </a:p>
          </c:txPr>
          <c:showLegendKey val="0"/>
          <c:showVal val="0"/>
          <c:showCatName val="0"/>
          <c:showSerName val="0"/>
          <c:showPercent val="1"/>
          <c:showBubbleSize val="0"/>
        </c:dLbl>
      </c:pivotFmt>
      <c:pivotFmt>
        <c:idx val="8"/>
        <c:marker>
          <c:symbol val="none"/>
        </c:marker>
        <c:dLbl>
          <c:idx val="0"/>
          <c:layout/>
          <c:numFmt formatCode="0.0%" sourceLinked="0"/>
          <c:spPr/>
          <c:txPr>
            <a:bodyPr/>
            <a:lstStyle/>
            <a:p>
              <a:pPr>
                <a:defRPr sz="1200" b="1"/>
              </a:pPr>
              <a:endParaRPr lang="id-ID"/>
            </a:p>
          </c:txPr>
          <c:showLegendKey val="0"/>
          <c:showVal val="0"/>
          <c:showCatName val="0"/>
          <c:showSerName val="0"/>
          <c:showPercent val="1"/>
          <c:showBubbleSize val="0"/>
        </c:dLbl>
      </c:pivotFmt>
    </c:pivotFmts>
    <c:plotArea>
      <c:layout>
        <c:manualLayout>
          <c:layoutTarget val="inner"/>
          <c:xMode val="edge"/>
          <c:yMode val="edge"/>
          <c:x val="0.25137779398388066"/>
          <c:y val="0.19064157009525182"/>
          <c:w val="0.36307157214351077"/>
          <c:h val="0.75551724189639879"/>
        </c:manualLayout>
      </c:layout>
      <c:doughnutChart>
        <c:varyColors val="1"/>
        <c:ser>
          <c:idx val="0"/>
          <c:order val="0"/>
          <c:tx>
            <c:strRef>
              <c:f>Pivot_Contribution_Tabels!$F$2</c:f>
              <c:strCache>
                <c:ptCount val="1"/>
                <c:pt idx="0">
                  <c:v>Total</c:v>
                </c:pt>
              </c:strCache>
            </c:strRef>
          </c:tx>
          <c:dLbls>
            <c:numFmt formatCode="0.0%" sourceLinked="0"/>
            <c:spPr/>
            <c:txPr>
              <a:bodyPr/>
              <a:lstStyle/>
              <a:p>
                <a:pPr>
                  <a:defRPr sz="1200" b="1"/>
                </a:pPr>
                <a:endParaRPr lang="id-ID"/>
              </a:p>
            </c:txPr>
            <c:showLegendKey val="0"/>
            <c:showVal val="0"/>
            <c:showCatName val="0"/>
            <c:showSerName val="0"/>
            <c:showPercent val="1"/>
            <c:showBubbleSize val="0"/>
            <c:showLeaderLines val="1"/>
          </c:dLbls>
          <c:cat>
            <c:strRef>
              <c:f>Pivot_Contribution_Tabels!$E$3:$E$9</c:f>
              <c:strCache>
                <c:ptCount val="6"/>
                <c:pt idx="0">
                  <c:v>New Balance</c:v>
                </c:pt>
                <c:pt idx="1">
                  <c:v>Reebok</c:v>
                </c:pt>
                <c:pt idx="2">
                  <c:v>Puma</c:v>
                </c:pt>
                <c:pt idx="3">
                  <c:v>Adidas</c:v>
                </c:pt>
                <c:pt idx="4">
                  <c:v>Nike</c:v>
                </c:pt>
                <c:pt idx="5">
                  <c:v>Skechers</c:v>
                </c:pt>
              </c:strCache>
            </c:strRef>
          </c:cat>
          <c:val>
            <c:numRef>
              <c:f>Pivot_Contribution_Tabels!$F$3:$F$9</c:f>
              <c:numCache>
                <c:formatCode>0.00%</c:formatCode>
                <c:ptCount val="6"/>
                <c:pt idx="0">
                  <c:v>0.27334341989475591</c:v>
                </c:pt>
                <c:pt idx="1">
                  <c:v>0.20351544962990925</c:v>
                </c:pt>
                <c:pt idx="2">
                  <c:v>0.16304633447119971</c:v>
                </c:pt>
                <c:pt idx="3">
                  <c:v>0.13790214160168299</c:v>
                </c:pt>
                <c:pt idx="4">
                  <c:v>0.12713772385776673</c:v>
                </c:pt>
                <c:pt idx="5">
                  <c:v>9.5054930544685445E-2</c:v>
                </c:pt>
              </c:numCache>
            </c:numRef>
          </c:val>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66155153537711586"/>
          <c:y val="0.27953413289666257"/>
          <c:w val="0.25428656553066004"/>
          <c:h val="0.49907204804267619"/>
        </c:manualLayout>
      </c:layout>
      <c:overlay val="0"/>
      <c:txPr>
        <a:bodyPr/>
        <a:lstStyle/>
        <a:p>
          <a:pPr>
            <a:defRPr sz="1400" b="0"/>
          </a:pPr>
          <a:endParaRPr lang="id-ID"/>
        </a:p>
      </c:txPr>
    </c:legend>
    <c:plotVisOnly val="1"/>
    <c:dispBlanksAs val="gap"/>
    <c:showDLblsOverMax val="0"/>
  </c:chart>
  <c:spPr>
    <a:solidFill>
      <a:schemeClr val="bg1">
        <a:alpha val="82000"/>
      </a:schemeClr>
    </a:solidFill>
    <a:ln>
      <a:solidFill>
        <a:schemeClr val="tx2">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27"/>
    </mc:Choice>
    <mc:Fallback>
      <c:style val="27"/>
    </mc:Fallback>
  </mc:AlternateContent>
  <c:pivotSource>
    <c:name>[Shoe_Sales_Analytics_Dashboard.xlsx]Pivot_Contribution_Tabels!Channel Contribution</c:name>
    <c:fmtId val="22"/>
  </c:pivotSource>
  <c:chart>
    <c:title>
      <c:tx>
        <c:rich>
          <a:bodyPr/>
          <a:lstStyle/>
          <a:p>
            <a:pPr>
              <a:defRPr/>
            </a:pPr>
            <a:r>
              <a:rPr lang="en-US" sz="1600"/>
              <a:t>Channel Revenue Contribution</a:t>
            </a:r>
          </a:p>
        </c:rich>
      </c:tx>
      <c:layout/>
      <c:overlay val="0"/>
    </c:title>
    <c:autoTitleDeleted val="0"/>
    <c:pivotFmts>
      <c:pivotFmt>
        <c:idx val="0"/>
      </c:pivotFmt>
      <c:pivotFmt>
        <c:idx val="1"/>
      </c:pivotFmt>
      <c:pivotFmt>
        <c:idx val="2"/>
        <c:marker>
          <c:symbol val="none"/>
        </c:marker>
        <c:dLbl>
          <c:idx val="0"/>
          <c:layout/>
          <c:numFmt formatCode="0.0%" sourceLinked="0"/>
          <c:spPr/>
          <c:txPr>
            <a:bodyPr/>
            <a:lstStyle/>
            <a:p>
              <a:pPr>
                <a:defRPr sz="1400" b="1"/>
              </a:pPr>
              <a:endParaRPr lang="id-ID"/>
            </a:p>
          </c:txPr>
          <c:showLegendKey val="0"/>
          <c:showVal val="0"/>
          <c:showCatName val="0"/>
          <c:showSerName val="0"/>
          <c:showPercent val="1"/>
          <c:showBubbleSize val="0"/>
        </c:dLbl>
      </c:pivotFmt>
    </c:pivotFmts>
    <c:plotArea>
      <c:layout>
        <c:manualLayout>
          <c:layoutTarget val="inner"/>
          <c:xMode val="edge"/>
          <c:yMode val="edge"/>
          <c:x val="0.24945678617854886"/>
          <c:y val="0.16070051439354446"/>
          <c:w val="0.36235829599343494"/>
          <c:h val="0.75339761333776745"/>
        </c:manualLayout>
      </c:layout>
      <c:doughnutChart>
        <c:varyColors val="1"/>
        <c:ser>
          <c:idx val="0"/>
          <c:order val="0"/>
          <c:tx>
            <c:strRef>
              <c:f>Pivot_Contribution_Tabels!$C$2</c:f>
              <c:strCache>
                <c:ptCount val="1"/>
                <c:pt idx="0">
                  <c:v>Total</c:v>
                </c:pt>
              </c:strCache>
            </c:strRef>
          </c:tx>
          <c:dLbls>
            <c:numFmt formatCode="0.0%" sourceLinked="0"/>
            <c:spPr/>
            <c:txPr>
              <a:bodyPr/>
              <a:lstStyle/>
              <a:p>
                <a:pPr>
                  <a:defRPr sz="1400" b="1"/>
                </a:pPr>
                <a:endParaRPr lang="id-ID"/>
              </a:p>
            </c:txPr>
            <c:showLegendKey val="0"/>
            <c:showVal val="0"/>
            <c:showCatName val="0"/>
            <c:showSerName val="0"/>
            <c:showPercent val="1"/>
            <c:showBubbleSize val="0"/>
            <c:showLeaderLines val="1"/>
          </c:dLbls>
          <c:cat>
            <c:strRef>
              <c:f>Pivot_Contribution_Tabels!$B$3:$B$6</c:f>
              <c:strCache>
                <c:ptCount val="3"/>
                <c:pt idx="0">
                  <c:v>Retail Store</c:v>
                </c:pt>
                <c:pt idx="1">
                  <c:v>Mall</c:v>
                </c:pt>
                <c:pt idx="2">
                  <c:v>Online</c:v>
                </c:pt>
              </c:strCache>
            </c:strRef>
          </c:cat>
          <c:val>
            <c:numRef>
              <c:f>Pivot_Contribution_Tabels!$C$3:$C$6</c:f>
              <c:numCache>
                <c:formatCode>0.00%</c:formatCode>
                <c:ptCount val="3"/>
                <c:pt idx="0">
                  <c:v>0.41338780063010477</c:v>
                </c:pt>
                <c:pt idx="1">
                  <c:v>0.38865066557443373</c:v>
                </c:pt>
                <c:pt idx="2">
                  <c:v>0.1979615337954615</c:v>
                </c:pt>
              </c:numCache>
            </c:numRef>
          </c:val>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68081689334287765"/>
          <c:y val="0.34878262391459414"/>
          <c:w val="0.26746972083035075"/>
          <c:h val="0.42504816569500153"/>
        </c:manualLayout>
      </c:layout>
      <c:overlay val="0"/>
      <c:txPr>
        <a:bodyPr/>
        <a:lstStyle/>
        <a:p>
          <a:pPr>
            <a:defRPr sz="1400"/>
          </a:pPr>
          <a:endParaRPr lang="id-ID"/>
        </a:p>
      </c:txPr>
    </c:legend>
    <c:plotVisOnly val="1"/>
    <c:dispBlanksAs val="gap"/>
    <c:showDLblsOverMax val="0"/>
  </c:chart>
  <c:spPr>
    <a:solidFill>
      <a:schemeClr val="bg1">
        <a:alpha val="82000"/>
      </a:schemeClr>
    </a:solidFill>
    <a:ln>
      <a:solidFill>
        <a:schemeClr val="tx2">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27"/>
    </mc:Choice>
    <mc:Fallback>
      <c:style val="27"/>
    </mc:Fallback>
  </mc:AlternateContent>
  <c:pivotSource>
    <c:name>[Shoe_Sales_Analytics_Dashboard.xlsx]Pivot_Contribution_Tabels!PivotTable1</c:name>
    <c:fmtId val="12"/>
  </c:pivotSource>
  <c:chart>
    <c:title>
      <c:tx>
        <c:rich>
          <a:bodyPr/>
          <a:lstStyle/>
          <a:p>
            <a:pPr>
              <a:defRPr/>
            </a:pPr>
            <a:r>
              <a:rPr lang="en-US"/>
              <a:t>Country Revenue Contribution</a:t>
            </a:r>
          </a:p>
        </c:rich>
      </c:tx>
      <c:layout/>
      <c:overlay val="0"/>
    </c:title>
    <c:autoTitleDeleted val="0"/>
    <c:pivotFmts>
      <c:pivotFmt>
        <c:idx val="0"/>
      </c:pivotFmt>
      <c:pivotFmt>
        <c:idx val="1"/>
      </c:pivotFmt>
      <c:pivotFmt>
        <c:idx val="2"/>
        <c:dLbl>
          <c:idx val="0"/>
          <c:layout/>
          <c:numFmt formatCode="0.00%" sourceLinked="0"/>
          <c:spPr/>
          <c:txPr>
            <a:bodyPr/>
            <a:lstStyle/>
            <a:p>
              <a:pPr>
                <a:defRPr sz="1200" b="1"/>
              </a:pPr>
              <a:endParaRPr lang="id-ID"/>
            </a:p>
          </c:txPr>
          <c:showLegendKey val="0"/>
          <c:showVal val="0"/>
          <c:showCatName val="0"/>
          <c:showSerName val="0"/>
          <c:showPercent val="1"/>
          <c:showBubbleSize val="0"/>
        </c:dLbl>
      </c:pivotFmt>
      <c:pivotFmt>
        <c:idx val="3"/>
      </c:pivotFmt>
      <c:pivotFmt>
        <c:idx val="4"/>
      </c:pivotFmt>
    </c:pivotFmts>
    <c:plotArea>
      <c:layout>
        <c:manualLayout>
          <c:layoutTarget val="inner"/>
          <c:xMode val="edge"/>
          <c:yMode val="edge"/>
          <c:x val="0.26602309916276828"/>
          <c:y val="0.18663857739435907"/>
          <c:w val="0.36428542746429793"/>
          <c:h val="0.75878524103403566"/>
        </c:manualLayout>
      </c:layout>
      <c:doughnutChart>
        <c:varyColors val="1"/>
        <c:ser>
          <c:idx val="0"/>
          <c:order val="0"/>
          <c:tx>
            <c:strRef>
              <c:f>Pivot_Contribution_Tabels!$I$2</c:f>
              <c:strCache>
                <c:ptCount val="1"/>
                <c:pt idx="0">
                  <c:v>Total</c:v>
                </c:pt>
              </c:strCache>
            </c:strRef>
          </c:tx>
          <c:dLbls>
            <c:numFmt formatCode="0.00%" sourceLinked="0"/>
            <c:spPr/>
            <c:txPr>
              <a:bodyPr/>
              <a:lstStyle/>
              <a:p>
                <a:pPr>
                  <a:defRPr sz="1200" b="1"/>
                </a:pPr>
                <a:endParaRPr lang="id-ID"/>
              </a:p>
            </c:txPr>
            <c:showLegendKey val="0"/>
            <c:showVal val="0"/>
            <c:showCatName val="0"/>
            <c:showSerName val="0"/>
            <c:showPercent val="1"/>
            <c:showBubbleSize val="0"/>
            <c:showLeaderLines val="0"/>
          </c:dLbls>
          <c:cat>
            <c:strRef>
              <c:f>Pivot_Contribution_Tabels!$H$3:$H$10</c:f>
              <c:strCache>
                <c:ptCount val="7"/>
                <c:pt idx="0">
                  <c:v>Germany</c:v>
                </c:pt>
                <c:pt idx="1">
                  <c:v>USA</c:v>
                </c:pt>
                <c:pt idx="2">
                  <c:v>UK</c:v>
                </c:pt>
                <c:pt idx="3">
                  <c:v>Saudi Arabia</c:v>
                </c:pt>
                <c:pt idx="4">
                  <c:v>India</c:v>
                </c:pt>
                <c:pt idx="5">
                  <c:v>France</c:v>
                </c:pt>
                <c:pt idx="6">
                  <c:v>UAE</c:v>
                </c:pt>
              </c:strCache>
            </c:strRef>
          </c:cat>
          <c:val>
            <c:numRef>
              <c:f>Pivot_Contribution_Tabels!$I$3:$I$10</c:f>
              <c:numCache>
                <c:formatCode>0.00%</c:formatCode>
                <c:ptCount val="7"/>
                <c:pt idx="0">
                  <c:v>0.21863264393207121</c:v>
                </c:pt>
                <c:pt idx="1">
                  <c:v>0.16415590344625078</c:v>
                </c:pt>
                <c:pt idx="2">
                  <c:v>0.16405977992570561</c:v>
                </c:pt>
                <c:pt idx="3">
                  <c:v>0.14246811001023257</c:v>
                </c:pt>
                <c:pt idx="4">
                  <c:v>0.12076240724459701</c:v>
                </c:pt>
                <c:pt idx="5">
                  <c:v>0.11281157553836507</c:v>
                </c:pt>
                <c:pt idx="6">
                  <c:v>7.7109579902777628E-2</c:v>
                </c:pt>
              </c:numCache>
            </c:numRef>
          </c:val>
        </c:ser>
        <c:dLbls>
          <c:showLegendKey val="0"/>
          <c:showVal val="0"/>
          <c:showCatName val="0"/>
          <c:showSerName val="0"/>
          <c:showPercent val="1"/>
          <c:showBubbleSize val="0"/>
          <c:showLeaderLines val="0"/>
        </c:dLbls>
        <c:firstSliceAng val="0"/>
        <c:holeSize val="50"/>
      </c:doughnutChart>
    </c:plotArea>
    <c:legend>
      <c:legendPos val="r"/>
      <c:layout>
        <c:manualLayout>
          <c:xMode val="edge"/>
          <c:yMode val="edge"/>
          <c:x val="0.73680929555961672"/>
          <c:y val="0.23951306891350466"/>
          <c:w val="0.18263335761754659"/>
          <c:h val="0.68061160631605355"/>
        </c:manualLayout>
      </c:layout>
      <c:overlay val="0"/>
      <c:txPr>
        <a:bodyPr/>
        <a:lstStyle/>
        <a:p>
          <a:pPr>
            <a:defRPr sz="1200"/>
          </a:pPr>
          <a:endParaRPr lang="id-ID"/>
        </a:p>
      </c:txPr>
    </c:legend>
    <c:plotVisOnly val="1"/>
    <c:dispBlanksAs val="gap"/>
    <c:showDLblsOverMax val="0"/>
  </c:chart>
  <c:spPr>
    <a:ln>
      <a:solidFill>
        <a:schemeClr val="tx2">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wmf"/><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12</xdr:col>
      <xdr:colOff>19051</xdr:colOff>
      <xdr:row>13</xdr:row>
      <xdr:rowOff>9526</xdr:rowOff>
    </xdr:from>
    <xdr:to>
      <xdr:col>12</xdr:col>
      <xdr:colOff>990601</xdr:colOff>
      <xdr:row>19</xdr:row>
      <xdr:rowOff>9526</xdr:rowOff>
    </xdr:to>
    <xdr:sp macro="" textlink="">
      <xdr:nvSpPr>
        <xdr:cNvPr id="2" name="TextBox 1"/>
        <xdr:cNvSpPr txBox="1"/>
      </xdr:nvSpPr>
      <xdr:spPr>
        <a:xfrm>
          <a:off x="10182226" y="2486026"/>
          <a:ext cx="971550" cy="1143000"/>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a:t>Use of COUNT with INDEX and MATCH</a:t>
          </a:r>
          <a:r>
            <a:rPr lang="id-ID" sz="900"/>
            <a:t>: to count the total number of data entries in each column</a:t>
          </a:r>
        </a:p>
      </xdr:txBody>
    </xdr:sp>
    <xdr:clientData/>
  </xdr:twoCellAnchor>
  <xdr:twoCellAnchor>
    <xdr:from>
      <xdr:col>13</xdr:col>
      <xdr:colOff>47625</xdr:colOff>
      <xdr:row>13</xdr:row>
      <xdr:rowOff>0</xdr:rowOff>
    </xdr:from>
    <xdr:to>
      <xdr:col>14</xdr:col>
      <xdr:colOff>0</xdr:colOff>
      <xdr:row>19</xdr:row>
      <xdr:rowOff>28576</xdr:rowOff>
    </xdr:to>
    <xdr:sp macro="" textlink="">
      <xdr:nvSpPr>
        <xdr:cNvPr id="7" name="TextBox 6"/>
        <xdr:cNvSpPr txBox="1"/>
      </xdr:nvSpPr>
      <xdr:spPr>
        <a:xfrm>
          <a:off x="11220450" y="2476500"/>
          <a:ext cx="971550" cy="1171576"/>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a:t>Use of COUNTBLANK with INDEX and MATCH: </a:t>
          </a:r>
          <a:r>
            <a:rPr lang="id-ID" sz="900" b="0"/>
            <a:t>to count the  missing vlues in each column</a:t>
          </a:r>
        </a:p>
      </xdr:txBody>
    </xdr:sp>
    <xdr:clientData/>
  </xdr:twoCellAnchor>
  <xdr:twoCellAnchor>
    <xdr:from>
      <xdr:col>14</xdr:col>
      <xdr:colOff>47625</xdr:colOff>
      <xdr:row>13</xdr:row>
      <xdr:rowOff>9525</xdr:rowOff>
    </xdr:from>
    <xdr:to>
      <xdr:col>14</xdr:col>
      <xdr:colOff>962025</xdr:colOff>
      <xdr:row>19</xdr:row>
      <xdr:rowOff>38101</xdr:rowOff>
    </xdr:to>
    <xdr:sp macro="" textlink="">
      <xdr:nvSpPr>
        <xdr:cNvPr id="8" name="TextBox 7"/>
        <xdr:cNvSpPr txBox="1"/>
      </xdr:nvSpPr>
      <xdr:spPr>
        <a:xfrm>
          <a:off x="12239625" y="2486025"/>
          <a:ext cx="914400" cy="1171576"/>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a:t>Use of TYPE with IF,INDEX and MATCH: </a:t>
          </a:r>
          <a:r>
            <a:rPr lang="id-ID" sz="900" b="0"/>
            <a:t>to know the format data in each column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23813</xdr:colOff>
      <xdr:row>0</xdr:row>
      <xdr:rowOff>1</xdr:rowOff>
    </xdr:from>
    <xdr:to>
      <xdr:col>12</xdr:col>
      <xdr:colOff>3086100</xdr:colOff>
      <xdr:row>2</xdr:row>
      <xdr:rowOff>428625</xdr:rowOff>
    </xdr:to>
    <xdr:sp macro="" textlink="">
      <xdr:nvSpPr>
        <xdr:cNvPr id="4" name="Rectangle 3"/>
        <xdr:cNvSpPr/>
      </xdr:nvSpPr>
      <xdr:spPr>
        <a:xfrm>
          <a:off x="23813" y="1"/>
          <a:ext cx="11825287" cy="1047749"/>
        </a:xfrm>
        <a:prstGeom prst="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212726</xdr:colOff>
      <xdr:row>0</xdr:row>
      <xdr:rowOff>0</xdr:rowOff>
    </xdr:from>
    <xdr:to>
      <xdr:col>13</xdr:col>
      <xdr:colOff>285750</xdr:colOff>
      <xdr:row>2</xdr:row>
      <xdr:rowOff>476250</xdr:rowOff>
    </xdr:to>
    <xdr:sp macro="" textlink="">
      <xdr:nvSpPr>
        <xdr:cNvPr id="2" name="Rectangle 1"/>
        <xdr:cNvSpPr/>
      </xdr:nvSpPr>
      <xdr:spPr>
        <a:xfrm>
          <a:off x="1951039" y="0"/>
          <a:ext cx="10621961" cy="1095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id-ID" sz="2800" b="1">
              <a:latin typeface="+mj-lt"/>
            </a:rPr>
            <a:t>A</a:t>
          </a:r>
          <a:r>
            <a:rPr lang="en-US" sz="2800" b="1">
              <a:latin typeface="+mj-lt"/>
            </a:rPr>
            <a:t>NNUAL</a:t>
          </a:r>
          <a:r>
            <a:rPr lang="id-ID" sz="2800" b="1">
              <a:latin typeface="+mj-lt"/>
            </a:rPr>
            <a:t> S</a:t>
          </a:r>
          <a:r>
            <a:rPr lang="en-US" sz="2800" b="1">
              <a:latin typeface="+mj-lt"/>
            </a:rPr>
            <a:t>HOE</a:t>
          </a:r>
          <a:r>
            <a:rPr lang="en-US" sz="2800" b="1" baseline="0">
              <a:latin typeface="+mj-lt"/>
            </a:rPr>
            <a:t> </a:t>
          </a:r>
          <a:r>
            <a:rPr lang="id-ID" sz="2800" b="1">
              <a:latin typeface="+mj-lt"/>
            </a:rPr>
            <a:t>S</a:t>
          </a:r>
          <a:r>
            <a:rPr lang="en-US" sz="2800" b="1">
              <a:latin typeface="+mj-lt"/>
            </a:rPr>
            <a:t>ALES</a:t>
          </a:r>
          <a:r>
            <a:rPr lang="id-ID" sz="2800" b="1">
              <a:latin typeface="+mj-lt"/>
            </a:rPr>
            <a:t> P</a:t>
          </a:r>
          <a:r>
            <a:rPr lang="en-US" sz="2800" b="1">
              <a:latin typeface="+mj-lt"/>
            </a:rPr>
            <a:t>ERFORMANCE</a:t>
          </a:r>
          <a:r>
            <a:rPr lang="en-US" sz="2800" b="1" baseline="0">
              <a:latin typeface="+mj-lt"/>
            </a:rPr>
            <a:t> </a:t>
          </a:r>
          <a:r>
            <a:rPr lang="id-ID" sz="2800" b="1">
              <a:latin typeface="+mj-lt"/>
            </a:rPr>
            <a:t>D</a:t>
          </a:r>
          <a:r>
            <a:rPr lang="en-US" sz="2800" b="1">
              <a:latin typeface="+mj-lt"/>
            </a:rPr>
            <a:t>ASHBOARD</a:t>
          </a:r>
          <a:r>
            <a:rPr lang="id-ID" sz="2800" b="1">
              <a:latin typeface="+mj-lt"/>
            </a:rPr>
            <a:t> 2025</a:t>
          </a:r>
          <a:endParaRPr lang="id-ID" sz="2800" b="1" i="0">
            <a:solidFill>
              <a:schemeClr val="bg1"/>
            </a:solidFill>
            <a:latin typeface="+mj-lt"/>
          </a:endParaRPr>
        </a:p>
      </xdr:txBody>
    </xdr:sp>
    <xdr:clientData/>
  </xdr:twoCellAnchor>
  <xdr:twoCellAnchor>
    <xdr:from>
      <xdr:col>2</xdr:col>
      <xdr:colOff>395686</xdr:colOff>
      <xdr:row>0</xdr:row>
      <xdr:rowOff>127000</xdr:rowOff>
    </xdr:from>
    <xdr:to>
      <xdr:col>2</xdr:col>
      <xdr:colOff>1284545</xdr:colOff>
      <xdr:row>2</xdr:row>
      <xdr:rowOff>357188</xdr:rowOff>
    </xdr:to>
    <xdr:pic>
      <xdr:nvPicPr>
        <xdr:cNvPr id="3" name="Picture 2" descr="C:\Program Files (x86)\Microsoft Office\MEDIA\CAGCAT10\j0222015.wmf"/>
        <xdr:cNvPicPr>
          <a:picLocks noChangeAspect="1" noChangeArrowheads="1"/>
        </xdr:cNvPicPr>
      </xdr:nvPicPr>
      <xdr:blipFill>
        <a:blip xmlns:r="http://schemas.openxmlformats.org/officeDocument/2006/relationships" r:embed="rId1" cstate="print">
          <a:biLevel thresh="50000"/>
          <a:extLst>
            <a:ext uri="{28A0092B-C50C-407E-A947-70E740481C1C}">
              <a14:useLocalDpi xmlns:a14="http://schemas.microsoft.com/office/drawing/2010/main" val="0"/>
            </a:ext>
          </a:extLst>
        </a:blip>
        <a:srcRect/>
        <a:stretch>
          <a:fillRect/>
        </a:stretch>
      </xdr:blipFill>
      <xdr:spPr bwMode="auto">
        <a:xfrm>
          <a:off x="824311" y="127000"/>
          <a:ext cx="888859" cy="849313"/>
        </a:xfrm>
        <a:prstGeom prst="rect">
          <a:avLst/>
        </a:prstGeom>
        <a:solidFill>
          <a:schemeClr val="tx2">
            <a:lumMod val="50000"/>
          </a:schemeClr>
        </a:solidFill>
        <a:extLst/>
      </xdr:spPr>
    </xdr:pic>
    <xdr:clientData/>
  </xdr:twoCellAnchor>
  <xdr:twoCellAnchor>
    <xdr:from>
      <xdr:col>6</xdr:col>
      <xdr:colOff>130735</xdr:colOff>
      <xdr:row>3</xdr:row>
      <xdr:rowOff>188710</xdr:rowOff>
    </xdr:from>
    <xdr:to>
      <xdr:col>22</xdr:col>
      <xdr:colOff>317501</xdr:colOff>
      <xdr:row>13</xdr:row>
      <xdr:rowOff>242793</xdr:rowOff>
    </xdr:to>
    <xdr:grpSp>
      <xdr:nvGrpSpPr>
        <xdr:cNvPr id="17" name="Group 16"/>
        <xdr:cNvGrpSpPr/>
      </xdr:nvGrpSpPr>
      <xdr:grpSpPr>
        <a:xfrm>
          <a:off x="4726548" y="1093585"/>
          <a:ext cx="17998516" cy="2387708"/>
          <a:chOff x="1962126" y="1337897"/>
          <a:chExt cx="16243586" cy="2521350"/>
        </a:xfrm>
      </xdr:grpSpPr>
      <xdr:graphicFrame macro="">
        <xdr:nvGraphicFramePr>
          <xdr:cNvPr id="10" name="Top_Country"/>
          <xdr:cNvGraphicFramePr>
            <a:graphicFrameLocks/>
          </xdr:cNvGraphicFramePr>
        </xdr:nvGraphicFramePr>
        <xdr:xfrm>
          <a:off x="1962126" y="1337897"/>
          <a:ext cx="5001906" cy="246356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Top_Brand"/>
          <xdr:cNvGraphicFramePr>
            <a:graphicFrameLocks/>
          </xdr:cNvGraphicFramePr>
        </xdr:nvGraphicFramePr>
        <xdr:xfrm>
          <a:off x="7621070" y="1361077"/>
          <a:ext cx="5062405" cy="248163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Chart 11"/>
          <xdr:cNvGraphicFramePr>
            <a:graphicFrameLocks/>
          </xdr:cNvGraphicFramePr>
        </xdr:nvGraphicFramePr>
        <xdr:xfrm>
          <a:off x="13181729" y="1378492"/>
          <a:ext cx="5023983" cy="248075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11180</xdr:colOff>
      <xdr:row>4</xdr:row>
      <xdr:rowOff>21700</xdr:rowOff>
    </xdr:from>
    <xdr:to>
      <xdr:col>6</xdr:col>
      <xdr:colOff>15875</xdr:colOff>
      <xdr:row>26</xdr:row>
      <xdr:rowOff>15875</xdr:rowOff>
    </xdr:to>
    <xdr:grpSp>
      <xdr:nvGrpSpPr>
        <xdr:cNvPr id="6" name="Group 5"/>
        <xdr:cNvGrpSpPr/>
      </xdr:nvGrpSpPr>
      <xdr:grpSpPr>
        <a:xfrm>
          <a:off x="225493" y="1117075"/>
          <a:ext cx="4386195" cy="5232925"/>
          <a:chOff x="250032" y="1407593"/>
          <a:chExt cx="5182130" cy="4575573"/>
        </a:xfrm>
      </xdr:grpSpPr>
      <mc:AlternateContent xmlns:mc="http://schemas.openxmlformats.org/markup-compatibility/2006" xmlns:a14="http://schemas.microsoft.com/office/drawing/2010/main">
        <mc:Choice Requires="a14">
          <xdr:graphicFrame macro="">
            <xdr:nvGraphicFramePr>
              <xdr:cNvPr id="18" name="Country"/>
              <xdr:cNvGraphicFramePr/>
            </xdr:nvGraphicFramePr>
            <xdr:xfrm>
              <a:off x="250032" y="1407593"/>
              <a:ext cx="2327507" cy="2284985"/>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20730" y="1279000"/>
                <a:ext cx="2198638" cy="2717905"/>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Month"/>
              <xdr:cNvGraphicFramePr/>
            </xdr:nvGraphicFramePr>
            <xdr:xfrm>
              <a:off x="3008802" y="1408064"/>
              <a:ext cx="2423360" cy="2284515"/>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97755" y="1279560"/>
                <a:ext cx="2175870" cy="2717346"/>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4" name="Brand"/>
              <xdr:cNvGraphicFramePr/>
            </xdr:nvGraphicFramePr>
            <xdr:xfrm>
              <a:off x="255586" y="3900784"/>
              <a:ext cx="2276939" cy="2082382"/>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25717" y="4244559"/>
                <a:ext cx="2191818" cy="2476916"/>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Sales_Channel"/>
              <xdr:cNvGraphicFramePr/>
            </xdr:nvGraphicFramePr>
            <xdr:xfrm>
              <a:off x="2989826" y="3900781"/>
              <a:ext cx="2413803" cy="1360583"/>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2680717" y="4244555"/>
                <a:ext cx="2167289" cy="1386383"/>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10</xdr:col>
      <xdr:colOff>228654</xdr:colOff>
      <xdr:row>29</xdr:row>
      <xdr:rowOff>0</xdr:rowOff>
    </xdr:from>
    <xdr:to>
      <xdr:col>15</xdr:col>
      <xdr:colOff>266700</xdr:colOff>
      <xdr:row>37</xdr:row>
      <xdr:rowOff>19050</xdr:rowOff>
    </xdr:to>
    <xdr:graphicFrame macro="">
      <xdr:nvGraphicFramePr>
        <xdr:cNvPr id="7" name="MOnthly Growth"/>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692925</xdr:colOff>
      <xdr:row>29</xdr:row>
      <xdr:rowOff>22172</xdr:rowOff>
    </xdr:from>
    <xdr:to>
      <xdr:col>21</xdr:col>
      <xdr:colOff>1143000</xdr:colOff>
      <xdr:row>37</xdr:row>
      <xdr:rowOff>57150</xdr:rowOff>
    </xdr:to>
    <xdr:graphicFrame macro="">
      <xdr:nvGraphicFramePr>
        <xdr:cNvPr id="28" name="Monthly Revenu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228600</xdr:colOff>
      <xdr:row>40</xdr:row>
      <xdr:rowOff>19050</xdr:rowOff>
    </xdr:from>
    <xdr:to>
      <xdr:col>15</xdr:col>
      <xdr:colOff>1428750</xdr:colOff>
      <xdr:row>48</xdr:row>
      <xdr:rowOff>38100</xdr:rowOff>
    </xdr:to>
    <xdr:graphicFrame macro="">
      <xdr:nvGraphicFramePr>
        <xdr:cNvPr id="14" name="Total Rev by Bran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1640886</xdr:colOff>
      <xdr:row>39</xdr:row>
      <xdr:rowOff>76200</xdr:rowOff>
    </xdr:from>
    <xdr:to>
      <xdr:col>22</xdr:col>
      <xdr:colOff>342899</xdr:colOff>
      <xdr:row>48</xdr:row>
      <xdr:rowOff>76200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149052</xdr:colOff>
      <xdr:row>14</xdr:row>
      <xdr:rowOff>217472</xdr:rowOff>
    </xdr:from>
    <xdr:to>
      <xdr:col>22</xdr:col>
      <xdr:colOff>219720</xdr:colOff>
      <xdr:row>26</xdr:row>
      <xdr:rowOff>38100</xdr:rowOff>
    </xdr:to>
    <xdr:grpSp>
      <xdr:nvGrpSpPr>
        <xdr:cNvPr id="23" name="Group 22"/>
        <xdr:cNvGrpSpPr/>
      </xdr:nvGrpSpPr>
      <xdr:grpSpPr>
        <a:xfrm>
          <a:off x="4744865" y="3694097"/>
          <a:ext cx="17882418" cy="2678128"/>
          <a:chOff x="5005472" y="4330701"/>
          <a:chExt cx="15368748" cy="2802563"/>
        </a:xfrm>
      </xdr:grpSpPr>
      <xdr:graphicFrame macro="">
        <xdr:nvGraphicFramePr>
          <xdr:cNvPr id="30" name="Chart 29"/>
          <xdr:cNvGraphicFramePr>
            <a:graphicFrameLocks/>
          </xdr:cNvGraphicFramePr>
        </xdr:nvGraphicFramePr>
        <xdr:xfrm>
          <a:off x="10326135" y="4341869"/>
          <a:ext cx="4770475" cy="2791395"/>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1" name="Chart 30"/>
          <xdr:cNvGraphicFramePr>
            <a:graphicFrameLocks/>
          </xdr:cNvGraphicFramePr>
        </xdr:nvGraphicFramePr>
        <xdr:xfrm>
          <a:off x="15640495" y="4361037"/>
          <a:ext cx="4733725" cy="277222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2" name="Chart 21"/>
          <xdr:cNvGraphicFramePr>
            <a:graphicFrameLocks/>
          </xdr:cNvGraphicFramePr>
        </xdr:nvGraphicFramePr>
        <xdr:xfrm>
          <a:off x="5005472" y="4330701"/>
          <a:ext cx="4794250" cy="2802563"/>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12</xdr:col>
      <xdr:colOff>1943100</xdr:colOff>
      <xdr:row>38</xdr:row>
      <xdr:rowOff>0</xdr:rowOff>
    </xdr:from>
    <xdr:to>
      <xdr:col>15</xdr:col>
      <xdr:colOff>95250</xdr:colOff>
      <xdr:row>39</xdr:row>
      <xdr:rowOff>0</xdr:rowOff>
    </xdr:to>
    <xdr:sp macro="" textlink="">
      <xdr:nvSpPr>
        <xdr:cNvPr id="5" name="Rectangle 4"/>
        <xdr:cNvSpPr/>
      </xdr:nvSpPr>
      <xdr:spPr>
        <a:xfrm>
          <a:off x="10706100" y="11087100"/>
          <a:ext cx="3790950" cy="419100"/>
        </a:xfrm>
        <a:prstGeom prst="rect">
          <a:avLst/>
        </a:prstGeom>
        <a:solidFill>
          <a:schemeClr val="tx2">
            <a:lumMod val="5000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Total</a:t>
          </a:r>
          <a:r>
            <a:rPr lang="en-US" sz="2000" b="1" baseline="0"/>
            <a:t> Revenue by Brand</a:t>
          </a:r>
          <a:endParaRPr lang="id-ID" sz="2000" b="1"/>
        </a:p>
      </xdr:txBody>
    </xdr:sp>
    <xdr:clientData/>
  </xdr:twoCellAnchor>
  <xdr:twoCellAnchor>
    <xdr:from>
      <xdr:col>17</xdr:col>
      <xdr:colOff>1009650</xdr:colOff>
      <xdr:row>38</xdr:row>
      <xdr:rowOff>0</xdr:rowOff>
    </xdr:from>
    <xdr:to>
      <xdr:col>21</xdr:col>
      <xdr:colOff>571500</xdr:colOff>
      <xdr:row>39</xdr:row>
      <xdr:rowOff>0</xdr:rowOff>
    </xdr:to>
    <xdr:sp macro="" textlink="">
      <xdr:nvSpPr>
        <xdr:cNvPr id="25" name="Rectangle 24"/>
        <xdr:cNvSpPr/>
      </xdr:nvSpPr>
      <xdr:spPr>
        <a:xfrm>
          <a:off x="17526000" y="11087100"/>
          <a:ext cx="3790950" cy="419100"/>
        </a:xfrm>
        <a:prstGeom prst="rect">
          <a:avLst/>
        </a:prstGeom>
        <a:solidFill>
          <a:schemeClr val="tx2">
            <a:lumMod val="5000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Total</a:t>
          </a:r>
          <a:r>
            <a:rPr lang="en-US" sz="2000" b="1" baseline="0"/>
            <a:t> Transaction by Channel</a:t>
          </a:r>
          <a:endParaRPr lang="id-ID" sz="20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22</xdr:row>
      <xdr:rowOff>95250</xdr:rowOff>
    </xdr:from>
    <xdr:to>
      <xdr:col>6</xdr:col>
      <xdr:colOff>561975</xdr:colOff>
      <xdr:row>25</xdr:row>
      <xdr:rowOff>142875</xdr:rowOff>
    </xdr:to>
    <xdr:sp macro="" textlink="">
      <xdr:nvSpPr>
        <xdr:cNvPr id="3" name="Rectangle 2"/>
        <xdr:cNvSpPr/>
      </xdr:nvSpPr>
      <xdr:spPr>
        <a:xfrm>
          <a:off x="2390775" y="4476750"/>
          <a:ext cx="2647950" cy="619125"/>
        </a:xfrm>
        <a:prstGeom prst="rect">
          <a:avLst/>
        </a:prstGeom>
        <a:solidFill>
          <a:srgbClr val="E9EFF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d-ID" b="1">
              <a:solidFill>
                <a:schemeClr val="tx1"/>
              </a:solidFill>
            </a:rPr>
            <a:t>Used VLOOKUP to retrieve the MoM (%) values for a KPI dashboard.</a:t>
          </a:r>
          <a:endParaRPr lang="id-ID" sz="1100" b="1">
            <a:solidFill>
              <a:schemeClr val="tx1"/>
            </a:solidFill>
          </a:endParaRPr>
        </a:p>
      </xdr:txBody>
    </xdr:sp>
    <xdr:clientData/>
  </xdr:twoCellAnchor>
  <xdr:twoCellAnchor>
    <xdr:from>
      <xdr:col>3</xdr:col>
      <xdr:colOff>571502</xdr:colOff>
      <xdr:row>20</xdr:row>
      <xdr:rowOff>28576</xdr:rowOff>
    </xdr:from>
    <xdr:to>
      <xdr:col>4</xdr:col>
      <xdr:colOff>742950</xdr:colOff>
      <xdr:row>22</xdr:row>
      <xdr:rowOff>95250</xdr:rowOff>
    </xdr:to>
    <xdr:cxnSp macro="">
      <xdr:nvCxnSpPr>
        <xdr:cNvPr id="7" name="Elbow Connector 6"/>
        <xdr:cNvCxnSpPr>
          <a:stCxn id="3" idx="0"/>
        </xdr:cNvCxnSpPr>
      </xdr:nvCxnSpPr>
      <xdr:spPr>
        <a:xfrm rot="16200000" flipV="1">
          <a:off x="3038477" y="3800476"/>
          <a:ext cx="447674" cy="904873"/>
        </a:xfrm>
        <a:prstGeom prst="curved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726281</xdr:colOff>
      <xdr:row>18</xdr:row>
      <xdr:rowOff>154782</xdr:rowOff>
    </xdr:from>
    <xdr:to>
      <xdr:col>11</xdr:col>
      <xdr:colOff>238125</xdr:colOff>
      <xdr:row>21</xdr:row>
      <xdr:rowOff>130969</xdr:rowOff>
    </xdr:to>
    <xdr:sp macro="" textlink="">
      <xdr:nvSpPr>
        <xdr:cNvPr id="12" name="Rectangle 11"/>
        <xdr:cNvSpPr/>
      </xdr:nvSpPr>
      <xdr:spPr>
        <a:xfrm>
          <a:off x="5226844" y="3583782"/>
          <a:ext cx="4024312" cy="547687"/>
        </a:xfrm>
        <a:prstGeom prst="rect">
          <a:avLst/>
        </a:prstGeom>
        <a:solidFill>
          <a:srgbClr val="E9EFF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d-ID" sz="1400" b="1">
              <a:solidFill>
                <a:schemeClr val="tx1"/>
              </a:solidFill>
            </a:rPr>
            <a:t>Used VLOOKUP</a:t>
          </a:r>
          <a:r>
            <a:rPr lang="en-US" sz="1400" b="1">
              <a:solidFill>
                <a:schemeClr val="tx1"/>
              </a:solidFill>
            </a:rPr>
            <a:t>,IFERROR,and</a:t>
          </a:r>
          <a:r>
            <a:rPr lang="en-US" sz="1400" b="1" baseline="0">
              <a:solidFill>
                <a:schemeClr val="tx1"/>
              </a:solidFill>
            </a:rPr>
            <a:t> MATCH</a:t>
          </a:r>
          <a:r>
            <a:rPr lang="id-ID" sz="1400" b="1">
              <a:solidFill>
                <a:schemeClr val="tx1"/>
              </a:solidFill>
            </a:rPr>
            <a:t> to retrieve the values for a </a:t>
          </a:r>
          <a:r>
            <a:rPr lang="en-US" sz="1400" b="1">
              <a:solidFill>
                <a:schemeClr val="tx1"/>
              </a:solidFill>
            </a:rPr>
            <a:t>HeatMap</a:t>
          </a:r>
          <a:r>
            <a:rPr lang="en-US" sz="1400" b="1" baseline="0">
              <a:solidFill>
                <a:schemeClr val="tx1"/>
              </a:solidFill>
            </a:rPr>
            <a:t> Dashboard</a:t>
          </a:r>
          <a:endParaRPr lang="id-ID" sz="14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75.903606018517" createdVersion="4" refreshedVersion="4" minRefreshableVersion="3" recordCount="1006">
  <cacheSource type="worksheet">
    <worksheetSource name="Table1.Sales_Data"/>
  </cacheSource>
  <cacheFields count="11">
    <cacheField name="Sale_ID" numFmtId="0">
      <sharedItems/>
    </cacheField>
    <cacheField name="Date" numFmtId="167">
      <sharedItems containsSemiMixedTypes="0" containsNonDate="0" containsDate="1" containsString="0" minDate="2025-01-03T00:00:00" maxDate="2026-01-01T00:00:00" count="342">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d v="2025-11-13T00:00:00"/>
        <d v="2025-08-06T00:00:00"/>
        <d v="2025-07-21T00:00:00"/>
        <d v="2025-08-23T00:00:00"/>
        <d v="2025-02-06T00:00:00"/>
        <d v="2025-02-14T00:00:00"/>
        <d v="2025-05-26T00:00:00"/>
        <d v="2025-09-18T00:00:00"/>
        <d v="2025-07-20T00:00:00"/>
        <d v="2025-08-11T00:00:00"/>
        <d v="2025-03-02T00:00:00"/>
        <d v="2025-11-15T00:00:00"/>
        <d v="2025-07-10T00:00:00"/>
        <d v="2025-03-10T00:00:00"/>
        <d v="2025-12-06T00:00:00"/>
        <d v="2025-04-14T00:00:00"/>
        <d v="2025-04-17T00:00:00"/>
        <d v="2025-01-21T00:00:00"/>
        <d v="2025-11-19T00:00:00"/>
        <d v="2025-01-12T00:00:00"/>
        <d v="2025-10-27T00:00:00"/>
        <d v="2025-07-01T00:00:00"/>
        <d v="2025-10-18T00:00:00"/>
        <d v="2025-05-31T00:00:00"/>
        <d v="2025-12-01T00:00:00"/>
        <d v="2025-01-18T00:00:00"/>
        <d v="2025-11-18T00:00:00"/>
        <d v="2025-05-18T00:00:00"/>
        <d v="2025-04-07T00:00:00"/>
        <d v="2025-09-20T00:00:00"/>
        <d v="2025-03-30T00:00:00"/>
        <d v="2025-04-22T00:00:00"/>
        <d v="2025-09-04T00:00:00"/>
        <d v="2025-05-14T00:00:00"/>
        <d v="2025-01-30T00:00:00"/>
        <d v="2025-01-14T00:00:00"/>
        <d v="2025-01-19T00:00:00"/>
        <d v="2025-08-26T00:00:00"/>
        <d v="2025-02-23T00:00:00"/>
        <d v="2025-09-25T00:00:00"/>
        <d v="2025-01-05T00:00:00"/>
        <d v="2025-10-19T00:00:00"/>
        <d v="2025-11-10T00:00:00"/>
        <d v="2025-11-08T00:00:00"/>
        <d v="2025-10-12T00:00:00"/>
        <d v="2025-06-04T00:00:00"/>
        <d v="2025-09-22T00:00:00"/>
        <d v="2025-12-26T00:00:00"/>
        <d v="2025-01-13T00:00:00"/>
        <d v="2025-09-19T00:00:00"/>
        <d v="2025-09-16T00:00:00"/>
        <d v="2025-03-21T00:00:00"/>
        <d v="2025-04-28T00:00:00"/>
        <d v="2025-03-03T00:00:00"/>
        <d v="2025-08-20T00:00:00"/>
        <d v="2025-05-25T00:00:00"/>
        <d v="2025-10-10T00:00:00"/>
        <d v="2025-02-18T00:00:00"/>
        <d v="2025-06-06T00:00:00"/>
      </sharedItems>
      <fieldGroup base="1">
        <rangePr groupBy="months" startDate="2025-01-03T00:00:00" endDate="2026-01-01T00:00:00"/>
        <groupItems count="14">
          <s v="&lt;03/01/2025"/>
          <s v="Jan"/>
          <s v="Feb"/>
          <s v="Mar"/>
          <s v="Apr"/>
          <s v="Mei"/>
          <s v="Jun"/>
          <s v="Jul"/>
          <s v="Agu"/>
          <s v="Sep"/>
          <s v="Okt"/>
          <s v="Nov"/>
          <s v="Des"/>
          <s v="&gt;01/01/2026"/>
        </groupItems>
      </fieldGroup>
    </cacheField>
    <cacheField name="Brand" numFmtId="0">
      <sharedItems count="6">
        <s v="Nike"/>
        <s v="Skechers"/>
        <s v="New Balance"/>
        <s v="Adidas"/>
        <s v="Puma"/>
        <s v="Reebok"/>
      </sharedItems>
    </cacheField>
    <cacheField name="Shoe_Type" numFmtId="0">
      <sharedItems count="6">
        <s v="Boots"/>
        <s v="Running"/>
        <s v="Casual"/>
        <s v="Formal"/>
        <s v="Sports"/>
        <s v="Sneakers"/>
      </sharedItems>
    </cacheField>
    <cacheField name="Color" numFmtId="0">
      <sharedItems count="6">
        <s v="Blue"/>
        <s v="Grey"/>
        <s v="White"/>
        <s v="Green"/>
        <s v="Red"/>
        <s v="Black"/>
      </sharedItems>
    </cacheField>
    <cacheField name="Country" numFmtId="0">
      <sharedItems count="7">
        <s v="UK"/>
        <s v="USA"/>
        <s v="UAE"/>
        <s v="France"/>
        <s v="Saudi Arabia"/>
        <s v="India"/>
        <s v="Germany"/>
      </sharedItems>
    </cacheField>
    <cacheField name="Sales_Channel" numFmtId="0">
      <sharedItems count="3">
        <s v="Online"/>
        <s v="Mall"/>
        <s v="Retail Store"/>
      </sharedItems>
    </cacheField>
    <cacheField name="Price_USD" numFmtId="2">
      <sharedItems containsSemiMixedTypes="0" containsString="0" containsNumber="1" minValue="31.02" maxValue="249.94"/>
    </cacheField>
    <cacheField name="Units_Sold" numFmtId="0">
      <sharedItems containsSemiMixedTypes="0" containsString="0" containsNumber="1" containsInteger="1" minValue="1" maxValue="20"/>
    </cacheField>
    <cacheField name="Revenue_USD" numFmtId="2">
      <sharedItems containsSemiMixedTypes="0" containsString="0" containsNumber="1" minValue="32.380000000000003" maxValue="4938.3999999999996"/>
    </cacheField>
    <cacheField name="AVG_Rev_Month" numFmtId="0" formula="Revenue_USD/12"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6">
  <r>
    <s v="S1"/>
    <x v="0"/>
    <x v="0"/>
    <x v="0"/>
    <x v="0"/>
    <x v="0"/>
    <x v="0"/>
    <n v="112.4"/>
    <n v="4"/>
    <n v="449.6"/>
  </r>
  <r>
    <s v="S2"/>
    <x v="1"/>
    <x v="1"/>
    <x v="0"/>
    <x v="1"/>
    <x v="1"/>
    <x v="1"/>
    <n v="239.16"/>
    <n v="4"/>
    <n v="956.64"/>
  </r>
  <r>
    <s v="S3"/>
    <x v="2"/>
    <x v="0"/>
    <x v="1"/>
    <x v="2"/>
    <x v="0"/>
    <x v="1"/>
    <n v="191.04"/>
    <n v="2"/>
    <n v="382.08"/>
  </r>
  <r>
    <s v="S4"/>
    <x v="3"/>
    <x v="2"/>
    <x v="2"/>
    <x v="3"/>
    <x v="2"/>
    <x v="1"/>
    <n v="161.69999999999999"/>
    <n v="1"/>
    <n v="161.69999999999999"/>
  </r>
  <r>
    <s v="S5"/>
    <x v="4"/>
    <x v="3"/>
    <x v="3"/>
    <x v="1"/>
    <x v="3"/>
    <x v="0"/>
    <n v="64.319999999999993"/>
    <n v="14"/>
    <n v="900.48"/>
  </r>
  <r>
    <s v="S6"/>
    <x v="5"/>
    <x v="4"/>
    <x v="4"/>
    <x v="2"/>
    <x v="0"/>
    <x v="2"/>
    <n v="64.319999999999993"/>
    <n v="14"/>
    <n v="900.48"/>
  </r>
  <r>
    <s v="S7"/>
    <x v="6"/>
    <x v="5"/>
    <x v="1"/>
    <x v="0"/>
    <x v="4"/>
    <x v="2"/>
    <n v="42.78"/>
    <n v="3"/>
    <n v="128.34"/>
  </r>
  <r>
    <s v="S8"/>
    <x v="7"/>
    <x v="0"/>
    <x v="0"/>
    <x v="4"/>
    <x v="5"/>
    <x v="0"/>
    <n v="220.56"/>
    <n v="9"/>
    <n v="1985.04"/>
  </r>
  <r>
    <s v="S9"/>
    <x v="8"/>
    <x v="2"/>
    <x v="4"/>
    <x v="3"/>
    <x v="5"/>
    <x v="2"/>
    <n v="162.25"/>
    <n v="3"/>
    <n v="486.75"/>
  </r>
  <r>
    <s v="S10"/>
    <x v="9"/>
    <x v="1"/>
    <x v="1"/>
    <x v="5"/>
    <x v="2"/>
    <x v="0"/>
    <n v="185.78"/>
    <n v="7"/>
    <n v="1300.46"/>
  </r>
  <r>
    <s v="S11"/>
    <x v="10"/>
    <x v="3"/>
    <x v="1"/>
    <x v="4"/>
    <x v="3"/>
    <x v="2"/>
    <n v="34.53"/>
    <n v="3"/>
    <n v="103.59"/>
  </r>
  <r>
    <s v="S12"/>
    <x v="11"/>
    <x v="3"/>
    <x v="4"/>
    <x v="0"/>
    <x v="0"/>
    <x v="1"/>
    <n v="243.38"/>
    <n v="12"/>
    <n v="2920.56"/>
  </r>
  <r>
    <s v="S13"/>
    <x v="12"/>
    <x v="2"/>
    <x v="0"/>
    <x v="2"/>
    <x v="5"/>
    <x v="1"/>
    <n v="213.14"/>
    <n v="3"/>
    <n v="639.41999999999996"/>
  </r>
  <r>
    <s v="S14"/>
    <x v="13"/>
    <x v="5"/>
    <x v="3"/>
    <x v="0"/>
    <x v="2"/>
    <x v="1"/>
    <n v="76.709999999999994"/>
    <n v="6"/>
    <n v="460.26"/>
  </r>
  <r>
    <s v="S15"/>
    <x v="14"/>
    <x v="1"/>
    <x v="4"/>
    <x v="5"/>
    <x v="0"/>
    <x v="0"/>
    <n v="70"/>
    <n v="8"/>
    <n v="560"/>
  </r>
  <r>
    <s v="S16"/>
    <x v="15"/>
    <x v="4"/>
    <x v="1"/>
    <x v="2"/>
    <x v="5"/>
    <x v="1"/>
    <n v="70.349999999999994"/>
    <n v="13"/>
    <n v="914.55"/>
  </r>
  <r>
    <s v="S17"/>
    <x v="15"/>
    <x v="1"/>
    <x v="3"/>
    <x v="4"/>
    <x v="2"/>
    <x v="2"/>
    <n v="96.93"/>
    <n v="7"/>
    <n v="678.51"/>
  </r>
  <r>
    <s v="S18"/>
    <x v="16"/>
    <x v="3"/>
    <x v="2"/>
    <x v="3"/>
    <x v="5"/>
    <x v="1"/>
    <n v="145.44999999999999"/>
    <n v="9"/>
    <n v="1309.05"/>
  </r>
  <r>
    <s v="S19"/>
    <x v="17"/>
    <x v="5"/>
    <x v="5"/>
    <x v="4"/>
    <x v="3"/>
    <x v="0"/>
    <n v="125.03"/>
    <n v="19"/>
    <n v="2375.5700000000002"/>
  </r>
  <r>
    <s v="S20"/>
    <x v="18"/>
    <x v="5"/>
    <x v="1"/>
    <x v="5"/>
    <x v="4"/>
    <x v="0"/>
    <n v="94.07"/>
    <n v="17"/>
    <n v="1599.19"/>
  </r>
  <r>
    <s v="S21"/>
    <x v="19"/>
    <x v="1"/>
    <x v="3"/>
    <x v="1"/>
    <x v="1"/>
    <x v="2"/>
    <n v="164.61"/>
    <n v="6"/>
    <n v="987.66"/>
  </r>
  <r>
    <s v="S22"/>
    <x v="20"/>
    <x v="5"/>
    <x v="5"/>
    <x v="0"/>
    <x v="5"/>
    <x v="0"/>
    <n v="60.69"/>
    <n v="20"/>
    <n v="1213.8"/>
  </r>
  <r>
    <s v="S23"/>
    <x v="21"/>
    <x v="1"/>
    <x v="5"/>
    <x v="0"/>
    <x v="4"/>
    <x v="1"/>
    <n v="94.27"/>
    <n v="4"/>
    <n v="377.08"/>
  </r>
  <r>
    <s v="S24"/>
    <x v="22"/>
    <x v="4"/>
    <x v="3"/>
    <x v="2"/>
    <x v="6"/>
    <x v="0"/>
    <n v="110.6"/>
    <n v="4"/>
    <n v="442.4"/>
  </r>
  <r>
    <s v="S25"/>
    <x v="17"/>
    <x v="3"/>
    <x v="5"/>
    <x v="5"/>
    <x v="4"/>
    <x v="1"/>
    <n v="130.34"/>
    <n v="17"/>
    <n v="2215.7800000000002"/>
  </r>
  <r>
    <s v="S26"/>
    <x v="23"/>
    <x v="2"/>
    <x v="2"/>
    <x v="2"/>
    <x v="3"/>
    <x v="0"/>
    <n v="202.74"/>
    <n v="17"/>
    <n v="3446.58"/>
  </r>
  <r>
    <s v="S27"/>
    <x v="24"/>
    <x v="0"/>
    <x v="5"/>
    <x v="0"/>
    <x v="6"/>
    <x v="0"/>
    <n v="73.930000000000007"/>
    <n v="17"/>
    <n v="1256.81"/>
  </r>
  <r>
    <s v="S28"/>
    <x v="25"/>
    <x v="4"/>
    <x v="2"/>
    <x v="5"/>
    <x v="0"/>
    <x v="1"/>
    <n v="143.13"/>
    <n v="12"/>
    <n v="1717.56"/>
  </r>
  <r>
    <s v="S29"/>
    <x v="26"/>
    <x v="1"/>
    <x v="3"/>
    <x v="5"/>
    <x v="4"/>
    <x v="1"/>
    <n v="160.33000000000001"/>
    <n v="3"/>
    <n v="480.99"/>
  </r>
  <r>
    <s v="S30"/>
    <x v="27"/>
    <x v="1"/>
    <x v="3"/>
    <x v="1"/>
    <x v="0"/>
    <x v="2"/>
    <n v="40.22"/>
    <n v="5"/>
    <n v="201.1"/>
  </r>
  <r>
    <s v="S31"/>
    <x v="28"/>
    <x v="5"/>
    <x v="2"/>
    <x v="1"/>
    <x v="4"/>
    <x v="1"/>
    <n v="163.66"/>
    <n v="20"/>
    <n v="3273.2"/>
  </r>
  <r>
    <s v="S32"/>
    <x v="29"/>
    <x v="1"/>
    <x v="4"/>
    <x v="4"/>
    <x v="2"/>
    <x v="1"/>
    <n v="67.52"/>
    <n v="7"/>
    <n v="472.64"/>
  </r>
  <r>
    <s v="S33"/>
    <x v="30"/>
    <x v="2"/>
    <x v="3"/>
    <x v="5"/>
    <x v="0"/>
    <x v="0"/>
    <n v="44.31"/>
    <n v="15"/>
    <n v="664.65"/>
  </r>
  <r>
    <s v="S34"/>
    <x v="31"/>
    <x v="0"/>
    <x v="5"/>
    <x v="1"/>
    <x v="0"/>
    <x v="1"/>
    <n v="238.75"/>
    <n v="11"/>
    <n v="2626.25"/>
  </r>
  <r>
    <s v="S35"/>
    <x v="32"/>
    <x v="0"/>
    <x v="0"/>
    <x v="3"/>
    <x v="1"/>
    <x v="0"/>
    <n v="242.44"/>
    <n v="1"/>
    <n v="242.44"/>
  </r>
  <r>
    <s v="S36"/>
    <x v="33"/>
    <x v="4"/>
    <x v="1"/>
    <x v="1"/>
    <x v="0"/>
    <x v="2"/>
    <n v="207.85"/>
    <n v="2"/>
    <n v="415.7"/>
  </r>
  <r>
    <s v="S37"/>
    <x v="34"/>
    <x v="3"/>
    <x v="5"/>
    <x v="2"/>
    <x v="2"/>
    <x v="1"/>
    <n v="97.02"/>
    <n v="16"/>
    <n v="1552.32"/>
  </r>
  <r>
    <s v="S38"/>
    <x v="9"/>
    <x v="3"/>
    <x v="3"/>
    <x v="4"/>
    <x v="0"/>
    <x v="0"/>
    <n v="51.49"/>
    <n v="16"/>
    <n v="823.84"/>
  </r>
  <r>
    <s v="S39"/>
    <x v="35"/>
    <x v="4"/>
    <x v="3"/>
    <x v="4"/>
    <x v="6"/>
    <x v="1"/>
    <n v="180.53"/>
    <n v="14"/>
    <n v="2527.42"/>
  </r>
  <r>
    <s v="S40"/>
    <x v="36"/>
    <x v="0"/>
    <x v="3"/>
    <x v="3"/>
    <x v="3"/>
    <x v="0"/>
    <n v="126.83"/>
    <n v="4"/>
    <n v="507.32"/>
  </r>
  <r>
    <s v="S41"/>
    <x v="37"/>
    <x v="3"/>
    <x v="5"/>
    <x v="4"/>
    <x v="0"/>
    <x v="2"/>
    <n v="56.85"/>
    <n v="7"/>
    <n v="397.95"/>
  </r>
  <r>
    <s v="S42"/>
    <x v="38"/>
    <x v="5"/>
    <x v="2"/>
    <x v="5"/>
    <x v="6"/>
    <x v="1"/>
    <n v="138.94"/>
    <n v="9"/>
    <n v="1250.46"/>
  </r>
  <r>
    <s v="S43"/>
    <x v="39"/>
    <x v="1"/>
    <x v="5"/>
    <x v="5"/>
    <x v="1"/>
    <x v="0"/>
    <n v="37.57"/>
    <n v="2"/>
    <n v="75.14"/>
  </r>
  <r>
    <s v="S44"/>
    <x v="40"/>
    <x v="5"/>
    <x v="3"/>
    <x v="2"/>
    <x v="4"/>
    <x v="2"/>
    <n v="230.05"/>
    <n v="14"/>
    <n v="3220.7"/>
  </r>
  <r>
    <s v="S45"/>
    <x v="41"/>
    <x v="5"/>
    <x v="1"/>
    <x v="4"/>
    <x v="3"/>
    <x v="2"/>
    <n v="86.93"/>
    <n v="6"/>
    <n v="521.58000000000004"/>
  </r>
  <r>
    <s v="S46"/>
    <x v="42"/>
    <x v="1"/>
    <x v="0"/>
    <x v="1"/>
    <x v="2"/>
    <x v="1"/>
    <n v="175.75"/>
    <n v="14"/>
    <n v="2460.5"/>
  </r>
  <r>
    <s v="S47"/>
    <x v="43"/>
    <x v="3"/>
    <x v="4"/>
    <x v="2"/>
    <x v="1"/>
    <x v="1"/>
    <n v="98.58"/>
    <n v="5"/>
    <n v="492.9"/>
  </r>
  <r>
    <s v="S48"/>
    <x v="44"/>
    <x v="1"/>
    <x v="4"/>
    <x v="5"/>
    <x v="1"/>
    <x v="1"/>
    <n v="144.41"/>
    <n v="2"/>
    <n v="288.82"/>
  </r>
  <r>
    <s v="S49"/>
    <x v="45"/>
    <x v="2"/>
    <x v="2"/>
    <x v="5"/>
    <x v="5"/>
    <x v="0"/>
    <n v="150.28"/>
    <n v="17"/>
    <n v="2554.7600000000002"/>
  </r>
  <r>
    <s v="S50"/>
    <x v="46"/>
    <x v="2"/>
    <x v="1"/>
    <x v="3"/>
    <x v="4"/>
    <x v="0"/>
    <n v="70.67"/>
    <n v="3"/>
    <n v="212.01"/>
  </r>
  <r>
    <s v="S51"/>
    <x v="47"/>
    <x v="2"/>
    <x v="2"/>
    <x v="1"/>
    <x v="5"/>
    <x v="0"/>
    <n v="243.31"/>
    <n v="4"/>
    <n v="973.24"/>
  </r>
  <r>
    <s v="S52"/>
    <x v="48"/>
    <x v="5"/>
    <x v="0"/>
    <x v="1"/>
    <x v="5"/>
    <x v="1"/>
    <n v="200.53"/>
    <n v="3"/>
    <n v="601.59"/>
  </r>
  <r>
    <s v="S53"/>
    <x v="15"/>
    <x v="3"/>
    <x v="0"/>
    <x v="3"/>
    <x v="3"/>
    <x v="0"/>
    <n v="236.69"/>
    <n v="9"/>
    <n v="2130.21"/>
  </r>
  <r>
    <s v="S54"/>
    <x v="49"/>
    <x v="3"/>
    <x v="0"/>
    <x v="3"/>
    <x v="3"/>
    <x v="2"/>
    <n v="226.86"/>
    <n v="13"/>
    <n v="2949.18"/>
  </r>
  <r>
    <s v="S55"/>
    <x v="15"/>
    <x v="0"/>
    <x v="3"/>
    <x v="1"/>
    <x v="5"/>
    <x v="0"/>
    <n v="161.54"/>
    <n v="3"/>
    <n v="484.62"/>
  </r>
  <r>
    <s v="S56"/>
    <x v="50"/>
    <x v="3"/>
    <x v="5"/>
    <x v="0"/>
    <x v="0"/>
    <x v="2"/>
    <n v="232.81"/>
    <n v="18"/>
    <n v="4190.58"/>
  </r>
  <r>
    <s v="S57"/>
    <x v="51"/>
    <x v="4"/>
    <x v="4"/>
    <x v="2"/>
    <x v="6"/>
    <x v="1"/>
    <n v="49.47"/>
    <n v="8"/>
    <n v="395.76"/>
  </r>
  <r>
    <s v="S58"/>
    <x v="52"/>
    <x v="2"/>
    <x v="0"/>
    <x v="1"/>
    <x v="1"/>
    <x v="1"/>
    <n v="73.12"/>
    <n v="10"/>
    <n v="731.2"/>
  </r>
  <r>
    <s v="S59"/>
    <x v="53"/>
    <x v="1"/>
    <x v="1"/>
    <x v="2"/>
    <x v="3"/>
    <x v="0"/>
    <n v="39.950000000000003"/>
    <n v="10"/>
    <n v="399.5"/>
  </r>
  <r>
    <s v="S60"/>
    <x v="54"/>
    <x v="3"/>
    <x v="4"/>
    <x v="0"/>
    <x v="5"/>
    <x v="0"/>
    <n v="101.57"/>
    <n v="18"/>
    <n v="1828.26"/>
  </r>
  <r>
    <s v="S61"/>
    <x v="55"/>
    <x v="1"/>
    <x v="0"/>
    <x v="0"/>
    <x v="5"/>
    <x v="2"/>
    <n v="115.51"/>
    <n v="7"/>
    <n v="808.57"/>
  </r>
  <r>
    <s v="S62"/>
    <x v="56"/>
    <x v="0"/>
    <x v="0"/>
    <x v="4"/>
    <x v="4"/>
    <x v="2"/>
    <n v="89.7"/>
    <n v="2"/>
    <n v="179.4"/>
  </r>
  <r>
    <s v="S63"/>
    <x v="57"/>
    <x v="4"/>
    <x v="2"/>
    <x v="3"/>
    <x v="3"/>
    <x v="0"/>
    <n v="212.32"/>
    <n v="1"/>
    <n v="212.32"/>
  </r>
  <r>
    <s v="S64"/>
    <x v="58"/>
    <x v="1"/>
    <x v="3"/>
    <x v="1"/>
    <x v="1"/>
    <x v="0"/>
    <n v="108.49"/>
    <n v="18"/>
    <n v="1952.82"/>
  </r>
  <r>
    <s v="S65"/>
    <x v="59"/>
    <x v="2"/>
    <x v="1"/>
    <x v="0"/>
    <x v="5"/>
    <x v="1"/>
    <n v="91.81"/>
    <n v="5"/>
    <n v="459.05"/>
  </r>
  <r>
    <s v="S66"/>
    <x v="60"/>
    <x v="3"/>
    <x v="1"/>
    <x v="0"/>
    <x v="3"/>
    <x v="0"/>
    <n v="149.38999999999999"/>
    <n v="14"/>
    <n v="2091.46"/>
  </r>
  <r>
    <s v="S67"/>
    <x v="61"/>
    <x v="1"/>
    <x v="2"/>
    <x v="3"/>
    <x v="1"/>
    <x v="2"/>
    <n v="61"/>
    <n v="7"/>
    <n v="427"/>
  </r>
  <r>
    <s v="S68"/>
    <x v="62"/>
    <x v="2"/>
    <x v="0"/>
    <x v="2"/>
    <x v="0"/>
    <x v="0"/>
    <n v="206.48"/>
    <n v="14"/>
    <n v="2890.72"/>
  </r>
  <r>
    <s v="S69"/>
    <x v="63"/>
    <x v="0"/>
    <x v="2"/>
    <x v="3"/>
    <x v="3"/>
    <x v="2"/>
    <n v="46.4"/>
    <n v="14"/>
    <n v="649.6"/>
  </r>
  <r>
    <s v="S70"/>
    <x v="34"/>
    <x v="4"/>
    <x v="2"/>
    <x v="3"/>
    <x v="1"/>
    <x v="2"/>
    <n v="247.12"/>
    <n v="8"/>
    <n v="1976.96"/>
  </r>
  <r>
    <s v="S71"/>
    <x v="64"/>
    <x v="3"/>
    <x v="2"/>
    <x v="4"/>
    <x v="3"/>
    <x v="2"/>
    <n v="199.89"/>
    <n v="16"/>
    <n v="3198.24"/>
  </r>
  <r>
    <s v="S72"/>
    <x v="65"/>
    <x v="0"/>
    <x v="0"/>
    <x v="2"/>
    <x v="6"/>
    <x v="2"/>
    <n v="73.72"/>
    <n v="8"/>
    <n v="589.76"/>
  </r>
  <r>
    <s v="S73"/>
    <x v="66"/>
    <x v="4"/>
    <x v="4"/>
    <x v="3"/>
    <x v="5"/>
    <x v="2"/>
    <n v="31.21"/>
    <n v="3"/>
    <n v="93.63"/>
  </r>
  <r>
    <s v="S74"/>
    <x v="67"/>
    <x v="4"/>
    <x v="1"/>
    <x v="5"/>
    <x v="3"/>
    <x v="0"/>
    <n v="209.4"/>
    <n v="18"/>
    <n v="3769.2"/>
  </r>
  <r>
    <s v="S75"/>
    <x v="68"/>
    <x v="0"/>
    <x v="1"/>
    <x v="1"/>
    <x v="6"/>
    <x v="2"/>
    <n v="185.51"/>
    <n v="9"/>
    <n v="1669.59"/>
  </r>
  <r>
    <s v="S76"/>
    <x v="69"/>
    <x v="2"/>
    <x v="5"/>
    <x v="5"/>
    <x v="6"/>
    <x v="1"/>
    <n v="190.38"/>
    <n v="14"/>
    <n v="2665.32"/>
  </r>
  <r>
    <s v="S77"/>
    <x v="70"/>
    <x v="0"/>
    <x v="0"/>
    <x v="4"/>
    <x v="1"/>
    <x v="1"/>
    <n v="199.68"/>
    <n v="9"/>
    <n v="1797.12"/>
  </r>
  <r>
    <s v="S78"/>
    <x v="71"/>
    <x v="4"/>
    <x v="3"/>
    <x v="5"/>
    <x v="2"/>
    <x v="2"/>
    <n v="46.29"/>
    <n v="7"/>
    <n v="324.02999999999997"/>
  </r>
  <r>
    <s v="S79"/>
    <x v="72"/>
    <x v="1"/>
    <x v="1"/>
    <x v="3"/>
    <x v="3"/>
    <x v="1"/>
    <n v="108.86"/>
    <n v="11"/>
    <n v="1197.46"/>
  </r>
  <r>
    <s v="S80"/>
    <x v="73"/>
    <x v="4"/>
    <x v="3"/>
    <x v="3"/>
    <x v="3"/>
    <x v="1"/>
    <n v="55.49"/>
    <n v="14"/>
    <n v="776.86"/>
  </r>
  <r>
    <s v="S81"/>
    <x v="74"/>
    <x v="5"/>
    <x v="0"/>
    <x v="4"/>
    <x v="2"/>
    <x v="1"/>
    <n v="219.88"/>
    <n v="7"/>
    <n v="1539.16"/>
  </r>
  <r>
    <s v="S82"/>
    <x v="75"/>
    <x v="2"/>
    <x v="4"/>
    <x v="4"/>
    <x v="5"/>
    <x v="0"/>
    <n v="167.13"/>
    <n v="20"/>
    <n v="3342.6"/>
  </r>
  <r>
    <s v="S83"/>
    <x v="76"/>
    <x v="3"/>
    <x v="3"/>
    <x v="1"/>
    <x v="5"/>
    <x v="1"/>
    <n v="102.8"/>
    <n v="10"/>
    <n v="1028"/>
  </r>
  <r>
    <s v="S84"/>
    <x v="77"/>
    <x v="5"/>
    <x v="3"/>
    <x v="3"/>
    <x v="0"/>
    <x v="1"/>
    <n v="43.98"/>
    <n v="15"/>
    <n v="659.7"/>
  </r>
  <r>
    <s v="S85"/>
    <x v="78"/>
    <x v="1"/>
    <x v="1"/>
    <x v="0"/>
    <x v="5"/>
    <x v="1"/>
    <n v="98.42"/>
    <n v="6"/>
    <n v="590.52"/>
  </r>
  <r>
    <s v="S86"/>
    <x v="79"/>
    <x v="4"/>
    <x v="1"/>
    <x v="2"/>
    <x v="2"/>
    <x v="2"/>
    <n v="101.54"/>
    <n v="20"/>
    <n v="2030.8"/>
  </r>
  <r>
    <s v="S87"/>
    <x v="80"/>
    <x v="3"/>
    <x v="1"/>
    <x v="5"/>
    <x v="0"/>
    <x v="2"/>
    <n v="190.51"/>
    <n v="7"/>
    <n v="1333.57"/>
  </r>
  <r>
    <s v="S88"/>
    <x v="81"/>
    <x v="5"/>
    <x v="3"/>
    <x v="3"/>
    <x v="5"/>
    <x v="0"/>
    <n v="170.26"/>
    <n v="3"/>
    <n v="510.78"/>
  </r>
  <r>
    <s v="S89"/>
    <x v="82"/>
    <x v="5"/>
    <x v="3"/>
    <x v="2"/>
    <x v="0"/>
    <x v="1"/>
    <n v="225.19"/>
    <n v="13"/>
    <n v="2927.47"/>
  </r>
  <r>
    <s v="S90"/>
    <x v="83"/>
    <x v="0"/>
    <x v="3"/>
    <x v="2"/>
    <x v="0"/>
    <x v="1"/>
    <n v="133.88999999999999"/>
    <n v="1"/>
    <n v="133.88999999999999"/>
  </r>
  <r>
    <s v="S91"/>
    <x v="84"/>
    <x v="0"/>
    <x v="5"/>
    <x v="2"/>
    <x v="4"/>
    <x v="0"/>
    <n v="56.31"/>
    <n v="15"/>
    <n v="844.65"/>
  </r>
  <r>
    <s v="S92"/>
    <x v="85"/>
    <x v="5"/>
    <x v="0"/>
    <x v="1"/>
    <x v="5"/>
    <x v="1"/>
    <n v="186.91"/>
    <n v="5"/>
    <n v="934.55"/>
  </r>
  <r>
    <s v="S93"/>
    <x v="86"/>
    <x v="2"/>
    <x v="0"/>
    <x v="1"/>
    <x v="6"/>
    <x v="1"/>
    <n v="197.37"/>
    <n v="15"/>
    <n v="2960.55"/>
  </r>
  <r>
    <s v="S94"/>
    <x v="87"/>
    <x v="1"/>
    <x v="3"/>
    <x v="4"/>
    <x v="3"/>
    <x v="0"/>
    <n v="153.47999999999999"/>
    <n v="6"/>
    <n v="920.88"/>
  </r>
  <r>
    <s v="S95"/>
    <x v="88"/>
    <x v="2"/>
    <x v="3"/>
    <x v="3"/>
    <x v="0"/>
    <x v="2"/>
    <n v="199.61"/>
    <n v="9"/>
    <n v="1796.49"/>
  </r>
  <r>
    <s v="S96"/>
    <x v="89"/>
    <x v="1"/>
    <x v="4"/>
    <x v="2"/>
    <x v="3"/>
    <x v="2"/>
    <n v="138.63999999999999"/>
    <n v="3"/>
    <n v="415.92"/>
  </r>
  <r>
    <s v="S97"/>
    <x v="90"/>
    <x v="0"/>
    <x v="2"/>
    <x v="2"/>
    <x v="0"/>
    <x v="2"/>
    <n v="145"/>
    <n v="18"/>
    <n v="2610"/>
  </r>
  <r>
    <s v="S98"/>
    <x v="91"/>
    <x v="1"/>
    <x v="2"/>
    <x v="5"/>
    <x v="6"/>
    <x v="2"/>
    <n v="124.06"/>
    <n v="5"/>
    <n v="620.29999999999995"/>
  </r>
  <r>
    <s v="S99"/>
    <x v="92"/>
    <x v="5"/>
    <x v="3"/>
    <x v="5"/>
    <x v="0"/>
    <x v="2"/>
    <n v="35.590000000000003"/>
    <n v="18"/>
    <n v="640.62"/>
  </r>
  <r>
    <s v="S100"/>
    <x v="93"/>
    <x v="1"/>
    <x v="1"/>
    <x v="1"/>
    <x v="6"/>
    <x v="2"/>
    <n v="53.74"/>
    <n v="19"/>
    <n v="1021.06"/>
  </r>
  <r>
    <s v="S101"/>
    <x v="94"/>
    <x v="4"/>
    <x v="3"/>
    <x v="4"/>
    <x v="5"/>
    <x v="1"/>
    <n v="36.909999999999997"/>
    <n v="12"/>
    <n v="442.92"/>
  </r>
  <r>
    <s v="S102"/>
    <x v="4"/>
    <x v="3"/>
    <x v="3"/>
    <x v="2"/>
    <x v="3"/>
    <x v="2"/>
    <n v="170.01"/>
    <n v="20"/>
    <n v="3400.2"/>
  </r>
  <r>
    <s v="S103"/>
    <x v="95"/>
    <x v="5"/>
    <x v="4"/>
    <x v="3"/>
    <x v="2"/>
    <x v="2"/>
    <n v="99.16"/>
    <n v="1"/>
    <n v="99.16"/>
  </r>
  <r>
    <s v="S104"/>
    <x v="96"/>
    <x v="3"/>
    <x v="5"/>
    <x v="1"/>
    <x v="1"/>
    <x v="2"/>
    <n v="141.88999999999999"/>
    <n v="15"/>
    <n v="2128.35"/>
  </r>
  <r>
    <s v="S105"/>
    <x v="97"/>
    <x v="1"/>
    <x v="1"/>
    <x v="5"/>
    <x v="2"/>
    <x v="2"/>
    <n v="229.66"/>
    <n v="19"/>
    <n v="4363.54"/>
  </r>
  <r>
    <s v="S106"/>
    <x v="98"/>
    <x v="3"/>
    <x v="1"/>
    <x v="0"/>
    <x v="6"/>
    <x v="2"/>
    <n v="84.84"/>
    <n v="15"/>
    <n v="1272.5999999999999"/>
  </r>
  <r>
    <s v="S107"/>
    <x v="99"/>
    <x v="4"/>
    <x v="4"/>
    <x v="4"/>
    <x v="3"/>
    <x v="2"/>
    <n v="120.28"/>
    <n v="15"/>
    <n v="1804.2"/>
  </r>
  <r>
    <s v="S108"/>
    <x v="100"/>
    <x v="5"/>
    <x v="1"/>
    <x v="3"/>
    <x v="5"/>
    <x v="0"/>
    <n v="196.22"/>
    <n v="3"/>
    <n v="588.66"/>
  </r>
  <r>
    <s v="S109"/>
    <x v="101"/>
    <x v="1"/>
    <x v="1"/>
    <x v="3"/>
    <x v="1"/>
    <x v="0"/>
    <n v="80.34"/>
    <n v="8"/>
    <n v="642.72"/>
  </r>
  <r>
    <s v="S110"/>
    <x v="102"/>
    <x v="0"/>
    <x v="5"/>
    <x v="2"/>
    <x v="0"/>
    <x v="0"/>
    <n v="46.94"/>
    <n v="7"/>
    <n v="328.58"/>
  </r>
  <r>
    <s v="S111"/>
    <x v="78"/>
    <x v="2"/>
    <x v="2"/>
    <x v="4"/>
    <x v="2"/>
    <x v="2"/>
    <n v="93.75"/>
    <n v="4"/>
    <n v="375"/>
  </r>
  <r>
    <s v="S112"/>
    <x v="103"/>
    <x v="2"/>
    <x v="5"/>
    <x v="3"/>
    <x v="2"/>
    <x v="0"/>
    <n v="65.47"/>
    <n v="6"/>
    <n v="392.82"/>
  </r>
  <r>
    <s v="S113"/>
    <x v="104"/>
    <x v="0"/>
    <x v="5"/>
    <x v="5"/>
    <x v="3"/>
    <x v="1"/>
    <n v="234.53"/>
    <n v="10"/>
    <n v="2345.3000000000002"/>
  </r>
  <r>
    <s v="S114"/>
    <x v="105"/>
    <x v="5"/>
    <x v="0"/>
    <x v="2"/>
    <x v="1"/>
    <x v="1"/>
    <n v="207.79"/>
    <n v="13"/>
    <n v="2701.27"/>
  </r>
  <r>
    <s v="S115"/>
    <x v="29"/>
    <x v="0"/>
    <x v="0"/>
    <x v="0"/>
    <x v="4"/>
    <x v="1"/>
    <n v="169.35"/>
    <n v="8"/>
    <n v="1354.8"/>
  </r>
  <r>
    <s v="S116"/>
    <x v="106"/>
    <x v="2"/>
    <x v="1"/>
    <x v="0"/>
    <x v="5"/>
    <x v="2"/>
    <n v="221.72"/>
    <n v="4"/>
    <n v="886.88"/>
  </r>
  <r>
    <s v="S117"/>
    <x v="107"/>
    <x v="0"/>
    <x v="5"/>
    <x v="3"/>
    <x v="3"/>
    <x v="0"/>
    <n v="206.81"/>
    <n v="12"/>
    <n v="2481.7199999999998"/>
  </r>
  <r>
    <s v="S118"/>
    <x v="108"/>
    <x v="0"/>
    <x v="3"/>
    <x v="0"/>
    <x v="2"/>
    <x v="2"/>
    <n v="71.05"/>
    <n v="16"/>
    <n v="1136.8"/>
  </r>
  <r>
    <s v="S119"/>
    <x v="109"/>
    <x v="5"/>
    <x v="2"/>
    <x v="3"/>
    <x v="5"/>
    <x v="1"/>
    <n v="226.36"/>
    <n v="5"/>
    <n v="1131.8"/>
  </r>
  <r>
    <s v="S120"/>
    <x v="110"/>
    <x v="2"/>
    <x v="3"/>
    <x v="4"/>
    <x v="6"/>
    <x v="1"/>
    <n v="148.66"/>
    <n v="20"/>
    <n v="2973.2"/>
  </r>
  <r>
    <s v="S121"/>
    <x v="97"/>
    <x v="4"/>
    <x v="2"/>
    <x v="5"/>
    <x v="3"/>
    <x v="2"/>
    <n v="207.64"/>
    <n v="9"/>
    <n v="1868.76"/>
  </r>
  <r>
    <s v="S122"/>
    <x v="111"/>
    <x v="2"/>
    <x v="5"/>
    <x v="3"/>
    <x v="6"/>
    <x v="2"/>
    <n v="227.14"/>
    <n v="15"/>
    <n v="3407.1"/>
  </r>
  <r>
    <s v="S123"/>
    <x v="112"/>
    <x v="4"/>
    <x v="2"/>
    <x v="4"/>
    <x v="0"/>
    <x v="2"/>
    <n v="99.96"/>
    <n v="16"/>
    <n v="1599.36"/>
  </r>
  <r>
    <s v="S124"/>
    <x v="113"/>
    <x v="4"/>
    <x v="5"/>
    <x v="3"/>
    <x v="3"/>
    <x v="1"/>
    <n v="54.21"/>
    <n v="11"/>
    <n v="596.30999999999995"/>
  </r>
  <r>
    <s v="S125"/>
    <x v="114"/>
    <x v="3"/>
    <x v="1"/>
    <x v="2"/>
    <x v="2"/>
    <x v="2"/>
    <n v="80.150000000000006"/>
    <n v="17"/>
    <n v="1362.55"/>
  </r>
  <r>
    <s v="S126"/>
    <x v="115"/>
    <x v="3"/>
    <x v="0"/>
    <x v="4"/>
    <x v="2"/>
    <x v="1"/>
    <n v="123.96"/>
    <n v="18"/>
    <n v="2231.2800000000002"/>
  </r>
  <r>
    <s v="S127"/>
    <x v="116"/>
    <x v="0"/>
    <x v="1"/>
    <x v="0"/>
    <x v="0"/>
    <x v="2"/>
    <n v="209.96"/>
    <n v="15"/>
    <n v="3149.4"/>
  </r>
  <r>
    <s v="S128"/>
    <x v="117"/>
    <x v="4"/>
    <x v="0"/>
    <x v="1"/>
    <x v="3"/>
    <x v="2"/>
    <n v="219.36"/>
    <n v="8"/>
    <n v="1754.88"/>
  </r>
  <r>
    <s v="S129"/>
    <x v="53"/>
    <x v="4"/>
    <x v="3"/>
    <x v="3"/>
    <x v="5"/>
    <x v="2"/>
    <n v="31.53"/>
    <n v="17"/>
    <n v="536.01"/>
  </r>
  <r>
    <s v="S130"/>
    <x v="118"/>
    <x v="4"/>
    <x v="4"/>
    <x v="0"/>
    <x v="0"/>
    <x v="0"/>
    <n v="142.36000000000001"/>
    <n v="15"/>
    <n v="2135.4"/>
  </r>
  <r>
    <s v="S131"/>
    <x v="119"/>
    <x v="0"/>
    <x v="0"/>
    <x v="1"/>
    <x v="4"/>
    <x v="1"/>
    <n v="121.83"/>
    <n v="11"/>
    <n v="1340.13"/>
  </r>
  <r>
    <s v="S132"/>
    <x v="120"/>
    <x v="3"/>
    <x v="0"/>
    <x v="4"/>
    <x v="3"/>
    <x v="1"/>
    <n v="78.86"/>
    <n v="7"/>
    <n v="552.02"/>
  </r>
  <r>
    <s v="S133"/>
    <x v="121"/>
    <x v="2"/>
    <x v="4"/>
    <x v="5"/>
    <x v="4"/>
    <x v="0"/>
    <n v="56.37"/>
    <n v="17"/>
    <n v="958.29"/>
  </r>
  <r>
    <s v="S134"/>
    <x v="122"/>
    <x v="4"/>
    <x v="2"/>
    <x v="0"/>
    <x v="1"/>
    <x v="1"/>
    <n v="104.28"/>
    <n v="8"/>
    <n v="834.24"/>
  </r>
  <r>
    <s v="S135"/>
    <x v="123"/>
    <x v="4"/>
    <x v="1"/>
    <x v="5"/>
    <x v="5"/>
    <x v="2"/>
    <n v="237.44"/>
    <n v="5"/>
    <n v="1187.2"/>
  </r>
  <r>
    <s v="S136"/>
    <x v="124"/>
    <x v="1"/>
    <x v="3"/>
    <x v="5"/>
    <x v="4"/>
    <x v="0"/>
    <n v="101.1"/>
    <n v="5"/>
    <n v="505.5"/>
  </r>
  <r>
    <s v="S137"/>
    <x v="125"/>
    <x v="5"/>
    <x v="3"/>
    <x v="4"/>
    <x v="3"/>
    <x v="0"/>
    <n v="144.13"/>
    <n v="10"/>
    <n v="1441.3"/>
  </r>
  <r>
    <s v="S138"/>
    <x v="126"/>
    <x v="5"/>
    <x v="1"/>
    <x v="5"/>
    <x v="6"/>
    <x v="2"/>
    <n v="184.66"/>
    <n v="9"/>
    <n v="1661.94"/>
  </r>
  <r>
    <s v="S139"/>
    <x v="50"/>
    <x v="1"/>
    <x v="0"/>
    <x v="5"/>
    <x v="0"/>
    <x v="0"/>
    <n v="110"/>
    <n v="19"/>
    <n v="2090"/>
  </r>
  <r>
    <s v="S140"/>
    <x v="127"/>
    <x v="0"/>
    <x v="2"/>
    <x v="5"/>
    <x v="5"/>
    <x v="2"/>
    <n v="243.79"/>
    <n v="10"/>
    <n v="2437.9"/>
  </r>
  <r>
    <s v="S141"/>
    <x v="128"/>
    <x v="2"/>
    <x v="2"/>
    <x v="1"/>
    <x v="6"/>
    <x v="2"/>
    <n v="241.74"/>
    <n v="20"/>
    <n v="4834.8"/>
  </r>
  <r>
    <s v="S142"/>
    <x v="58"/>
    <x v="2"/>
    <x v="3"/>
    <x v="0"/>
    <x v="5"/>
    <x v="1"/>
    <n v="85.39"/>
    <n v="10"/>
    <n v="853.9"/>
  </r>
  <r>
    <s v="S143"/>
    <x v="41"/>
    <x v="1"/>
    <x v="1"/>
    <x v="2"/>
    <x v="2"/>
    <x v="0"/>
    <n v="139.38999999999999"/>
    <n v="20"/>
    <n v="2787.8"/>
  </r>
  <r>
    <s v="S144"/>
    <x v="49"/>
    <x v="3"/>
    <x v="2"/>
    <x v="2"/>
    <x v="5"/>
    <x v="0"/>
    <n v="96.19"/>
    <n v="3"/>
    <n v="288.57"/>
  </r>
  <r>
    <s v="S145"/>
    <x v="129"/>
    <x v="5"/>
    <x v="3"/>
    <x v="3"/>
    <x v="5"/>
    <x v="2"/>
    <n v="92.66"/>
    <n v="1"/>
    <n v="92.66"/>
  </r>
  <r>
    <s v="S146"/>
    <x v="130"/>
    <x v="3"/>
    <x v="4"/>
    <x v="3"/>
    <x v="3"/>
    <x v="1"/>
    <n v="38.119999999999997"/>
    <n v="2"/>
    <n v="76.239999999999995"/>
  </r>
  <r>
    <s v="S147"/>
    <x v="131"/>
    <x v="1"/>
    <x v="2"/>
    <x v="0"/>
    <x v="4"/>
    <x v="1"/>
    <n v="164.1"/>
    <n v="3"/>
    <n v="492.3"/>
  </r>
  <r>
    <s v="S148"/>
    <x v="121"/>
    <x v="5"/>
    <x v="1"/>
    <x v="1"/>
    <x v="0"/>
    <x v="1"/>
    <n v="140.59"/>
    <n v="7"/>
    <n v="984.13"/>
  </r>
  <r>
    <s v="S149"/>
    <x v="132"/>
    <x v="3"/>
    <x v="1"/>
    <x v="5"/>
    <x v="0"/>
    <x v="2"/>
    <n v="41.33"/>
    <n v="9"/>
    <n v="371.97"/>
  </r>
  <r>
    <s v="S150"/>
    <x v="133"/>
    <x v="4"/>
    <x v="3"/>
    <x v="5"/>
    <x v="6"/>
    <x v="1"/>
    <n v="91.3"/>
    <n v="19"/>
    <n v="1734.7"/>
  </r>
  <r>
    <s v="S151"/>
    <x v="76"/>
    <x v="4"/>
    <x v="5"/>
    <x v="1"/>
    <x v="6"/>
    <x v="2"/>
    <n v="229.82"/>
    <n v="13"/>
    <n v="2987.66"/>
  </r>
  <r>
    <s v="S152"/>
    <x v="134"/>
    <x v="0"/>
    <x v="3"/>
    <x v="3"/>
    <x v="3"/>
    <x v="1"/>
    <n v="82.7"/>
    <n v="20"/>
    <n v="1654"/>
  </r>
  <r>
    <s v="S153"/>
    <x v="56"/>
    <x v="0"/>
    <x v="2"/>
    <x v="3"/>
    <x v="4"/>
    <x v="1"/>
    <n v="61.88"/>
    <n v="1"/>
    <n v="61.88"/>
  </r>
  <r>
    <s v="S154"/>
    <x v="135"/>
    <x v="1"/>
    <x v="4"/>
    <x v="1"/>
    <x v="1"/>
    <x v="0"/>
    <n v="137.68"/>
    <n v="1"/>
    <n v="137.68"/>
  </r>
  <r>
    <s v="S155"/>
    <x v="136"/>
    <x v="1"/>
    <x v="3"/>
    <x v="0"/>
    <x v="0"/>
    <x v="1"/>
    <n v="246.84"/>
    <n v="17"/>
    <n v="4196.28"/>
  </r>
  <r>
    <s v="S156"/>
    <x v="137"/>
    <x v="0"/>
    <x v="3"/>
    <x v="0"/>
    <x v="6"/>
    <x v="2"/>
    <n v="83.25"/>
    <n v="16"/>
    <n v="1332"/>
  </r>
  <r>
    <s v="S157"/>
    <x v="77"/>
    <x v="3"/>
    <x v="4"/>
    <x v="4"/>
    <x v="2"/>
    <x v="2"/>
    <n v="177.87"/>
    <n v="4"/>
    <n v="711.48"/>
  </r>
  <r>
    <s v="S158"/>
    <x v="138"/>
    <x v="2"/>
    <x v="1"/>
    <x v="4"/>
    <x v="1"/>
    <x v="2"/>
    <n v="197.56"/>
    <n v="13"/>
    <n v="2568.2800000000002"/>
  </r>
  <r>
    <s v="S159"/>
    <x v="100"/>
    <x v="0"/>
    <x v="3"/>
    <x v="1"/>
    <x v="4"/>
    <x v="0"/>
    <n v="82.28"/>
    <n v="11"/>
    <n v="905.08"/>
  </r>
  <r>
    <s v="S160"/>
    <x v="139"/>
    <x v="5"/>
    <x v="3"/>
    <x v="5"/>
    <x v="0"/>
    <x v="1"/>
    <n v="190.21"/>
    <n v="18"/>
    <n v="3423.78"/>
  </r>
  <r>
    <s v="S161"/>
    <x v="140"/>
    <x v="5"/>
    <x v="0"/>
    <x v="4"/>
    <x v="4"/>
    <x v="0"/>
    <n v="110.91"/>
    <n v="20"/>
    <n v="2218.1999999999998"/>
  </r>
  <r>
    <s v="S162"/>
    <x v="141"/>
    <x v="2"/>
    <x v="2"/>
    <x v="0"/>
    <x v="6"/>
    <x v="1"/>
    <n v="169.11"/>
    <n v="9"/>
    <n v="1521.99"/>
  </r>
  <r>
    <s v="S163"/>
    <x v="95"/>
    <x v="0"/>
    <x v="0"/>
    <x v="1"/>
    <x v="4"/>
    <x v="0"/>
    <n v="169.38"/>
    <n v="4"/>
    <n v="677.52"/>
  </r>
  <r>
    <s v="S164"/>
    <x v="142"/>
    <x v="4"/>
    <x v="5"/>
    <x v="5"/>
    <x v="5"/>
    <x v="2"/>
    <n v="147.87"/>
    <n v="6"/>
    <n v="887.22"/>
  </r>
  <r>
    <s v="S165"/>
    <x v="143"/>
    <x v="0"/>
    <x v="3"/>
    <x v="5"/>
    <x v="2"/>
    <x v="0"/>
    <n v="49.86"/>
    <n v="8"/>
    <n v="398.88"/>
  </r>
  <r>
    <s v="S166"/>
    <x v="144"/>
    <x v="2"/>
    <x v="0"/>
    <x v="0"/>
    <x v="6"/>
    <x v="2"/>
    <n v="213.77"/>
    <n v="10"/>
    <n v="2137.6999999999998"/>
  </r>
  <r>
    <s v="S167"/>
    <x v="145"/>
    <x v="5"/>
    <x v="5"/>
    <x v="2"/>
    <x v="6"/>
    <x v="0"/>
    <n v="100.57"/>
    <n v="8"/>
    <n v="804.56"/>
  </r>
  <r>
    <s v="S168"/>
    <x v="146"/>
    <x v="1"/>
    <x v="2"/>
    <x v="5"/>
    <x v="3"/>
    <x v="2"/>
    <n v="71.03"/>
    <n v="17"/>
    <n v="1207.51"/>
  </r>
  <r>
    <s v="S169"/>
    <x v="22"/>
    <x v="4"/>
    <x v="1"/>
    <x v="0"/>
    <x v="2"/>
    <x v="2"/>
    <n v="38.97"/>
    <n v="17"/>
    <n v="662.49"/>
  </r>
  <r>
    <s v="S170"/>
    <x v="135"/>
    <x v="1"/>
    <x v="3"/>
    <x v="2"/>
    <x v="6"/>
    <x v="1"/>
    <n v="160"/>
    <n v="19"/>
    <n v="3040"/>
  </r>
  <r>
    <s v="S171"/>
    <x v="147"/>
    <x v="4"/>
    <x v="5"/>
    <x v="1"/>
    <x v="6"/>
    <x v="2"/>
    <n v="179.06"/>
    <n v="12"/>
    <n v="2148.7199999999998"/>
  </r>
  <r>
    <s v="S172"/>
    <x v="77"/>
    <x v="1"/>
    <x v="2"/>
    <x v="1"/>
    <x v="6"/>
    <x v="0"/>
    <n v="33.65"/>
    <n v="7"/>
    <n v="235.55"/>
  </r>
  <r>
    <s v="S173"/>
    <x v="148"/>
    <x v="4"/>
    <x v="0"/>
    <x v="4"/>
    <x v="2"/>
    <x v="2"/>
    <n v="142.66"/>
    <n v="2"/>
    <n v="285.32"/>
  </r>
  <r>
    <s v="S174"/>
    <x v="149"/>
    <x v="5"/>
    <x v="1"/>
    <x v="2"/>
    <x v="5"/>
    <x v="1"/>
    <n v="79.83"/>
    <n v="5"/>
    <n v="399.15"/>
  </r>
  <r>
    <s v="S175"/>
    <x v="92"/>
    <x v="5"/>
    <x v="1"/>
    <x v="1"/>
    <x v="6"/>
    <x v="0"/>
    <n v="171.94"/>
    <n v="4"/>
    <n v="687.76"/>
  </r>
  <r>
    <s v="S176"/>
    <x v="16"/>
    <x v="1"/>
    <x v="2"/>
    <x v="5"/>
    <x v="6"/>
    <x v="2"/>
    <n v="68.36"/>
    <n v="14"/>
    <n v="957.04"/>
  </r>
  <r>
    <s v="S177"/>
    <x v="150"/>
    <x v="1"/>
    <x v="3"/>
    <x v="3"/>
    <x v="1"/>
    <x v="2"/>
    <n v="182.01"/>
    <n v="20"/>
    <n v="3640.2"/>
  </r>
  <r>
    <s v="S178"/>
    <x v="151"/>
    <x v="5"/>
    <x v="4"/>
    <x v="3"/>
    <x v="2"/>
    <x v="2"/>
    <n v="115.08"/>
    <n v="18"/>
    <n v="2071.44"/>
  </r>
  <r>
    <s v="S179"/>
    <x v="44"/>
    <x v="2"/>
    <x v="1"/>
    <x v="2"/>
    <x v="2"/>
    <x v="1"/>
    <n v="236.08"/>
    <n v="2"/>
    <n v="472.16"/>
  </r>
  <r>
    <s v="S180"/>
    <x v="138"/>
    <x v="1"/>
    <x v="1"/>
    <x v="4"/>
    <x v="1"/>
    <x v="1"/>
    <n v="60.25"/>
    <n v="8"/>
    <n v="482"/>
  </r>
  <r>
    <s v="S181"/>
    <x v="52"/>
    <x v="5"/>
    <x v="2"/>
    <x v="3"/>
    <x v="3"/>
    <x v="0"/>
    <n v="105.03"/>
    <n v="4"/>
    <n v="420.12"/>
  </r>
  <r>
    <s v="S182"/>
    <x v="152"/>
    <x v="0"/>
    <x v="4"/>
    <x v="0"/>
    <x v="3"/>
    <x v="2"/>
    <n v="54.96"/>
    <n v="11"/>
    <n v="604.55999999999995"/>
  </r>
  <r>
    <s v="S183"/>
    <x v="153"/>
    <x v="2"/>
    <x v="3"/>
    <x v="1"/>
    <x v="2"/>
    <x v="0"/>
    <n v="233.43"/>
    <n v="8"/>
    <n v="1867.44"/>
  </r>
  <r>
    <s v="S184"/>
    <x v="154"/>
    <x v="0"/>
    <x v="5"/>
    <x v="4"/>
    <x v="5"/>
    <x v="1"/>
    <n v="223.01"/>
    <n v="6"/>
    <n v="1338.06"/>
  </r>
  <r>
    <s v="S185"/>
    <x v="155"/>
    <x v="2"/>
    <x v="2"/>
    <x v="2"/>
    <x v="6"/>
    <x v="1"/>
    <n v="86.75"/>
    <n v="16"/>
    <n v="1388"/>
  </r>
  <r>
    <s v="S186"/>
    <x v="156"/>
    <x v="4"/>
    <x v="0"/>
    <x v="5"/>
    <x v="4"/>
    <x v="2"/>
    <n v="175.2"/>
    <n v="15"/>
    <n v="2628"/>
  </r>
  <r>
    <s v="S187"/>
    <x v="138"/>
    <x v="3"/>
    <x v="1"/>
    <x v="4"/>
    <x v="3"/>
    <x v="1"/>
    <n v="209.79"/>
    <n v="18"/>
    <n v="3776.22"/>
  </r>
  <r>
    <s v="S188"/>
    <x v="157"/>
    <x v="1"/>
    <x v="4"/>
    <x v="4"/>
    <x v="4"/>
    <x v="2"/>
    <n v="152.13999999999999"/>
    <n v="14"/>
    <n v="2129.96"/>
  </r>
  <r>
    <s v="S189"/>
    <x v="158"/>
    <x v="5"/>
    <x v="1"/>
    <x v="2"/>
    <x v="6"/>
    <x v="1"/>
    <n v="146.52000000000001"/>
    <n v="13"/>
    <n v="1904.76"/>
  </r>
  <r>
    <s v="S190"/>
    <x v="61"/>
    <x v="4"/>
    <x v="0"/>
    <x v="0"/>
    <x v="1"/>
    <x v="1"/>
    <n v="83.21"/>
    <n v="19"/>
    <n v="1580.99"/>
  </r>
  <r>
    <s v="S191"/>
    <x v="159"/>
    <x v="0"/>
    <x v="5"/>
    <x v="3"/>
    <x v="4"/>
    <x v="1"/>
    <n v="50.48"/>
    <n v="9"/>
    <n v="454.32"/>
  </r>
  <r>
    <s v="S192"/>
    <x v="160"/>
    <x v="1"/>
    <x v="3"/>
    <x v="0"/>
    <x v="4"/>
    <x v="0"/>
    <n v="227.39"/>
    <n v="20"/>
    <n v="4547.8"/>
  </r>
  <r>
    <s v="S193"/>
    <x v="128"/>
    <x v="3"/>
    <x v="0"/>
    <x v="2"/>
    <x v="5"/>
    <x v="2"/>
    <n v="228.09"/>
    <n v="12"/>
    <n v="2737.08"/>
  </r>
  <r>
    <s v="S194"/>
    <x v="67"/>
    <x v="1"/>
    <x v="1"/>
    <x v="3"/>
    <x v="2"/>
    <x v="0"/>
    <n v="169.28"/>
    <n v="5"/>
    <n v="846.4"/>
  </r>
  <r>
    <s v="S195"/>
    <x v="73"/>
    <x v="0"/>
    <x v="5"/>
    <x v="0"/>
    <x v="2"/>
    <x v="0"/>
    <n v="104.59"/>
    <n v="15"/>
    <n v="1568.85"/>
  </r>
  <r>
    <s v="S196"/>
    <x v="161"/>
    <x v="4"/>
    <x v="0"/>
    <x v="4"/>
    <x v="0"/>
    <x v="0"/>
    <n v="106.83"/>
    <n v="10"/>
    <n v="1068.3"/>
  </r>
  <r>
    <s v="S197"/>
    <x v="162"/>
    <x v="4"/>
    <x v="5"/>
    <x v="1"/>
    <x v="3"/>
    <x v="0"/>
    <n v="189.71"/>
    <n v="18"/>
    <n v="3414.78"/>
  </r>
  <r>
    <s v="S198"/>
    <x v="163"/>
    <x v="4"/>
    <x v="0"/>
    <x v="0"/>
    <x v="4"/>
    <x v="0"/>
    <n v="227.36"/>
    <n v="16"/>
    <n v="3637.76"/>
  </r>
  <r>
    <s v="S199"/>
    <x v="164"/>
    <x v="3"/>
    <x v="2"/>
    <x v="3"/>
    <x v="2"/>
    <x v="1"/>
    <n v="225.16"/>
    <n v="3"/>
    <n v="675.48"/>
  </r>
  <r>
    <s v="S200"/>
    <x v="165"/>
    <x v="4"/>
    <x v="1"/>
    <x v="4"/>
    <x v="1"/>
    <x v="2"/>
    <n v="201.57"/>
    <n v="18"/>
    <n v="3628.26"/>
  </r>
  <r>
    <s v="S201"/>
    <x v="166"/>
    <x v="5"/>
    <x v="4"/>
    <x v="3"/>
    <x v="2"/>
    <x v="1"/>
    <n v="171.25"/>
    <n v="4"/>
    <n v="685"/>
  </r>
  <r>
    <s v="S202"/>
    <x v="17"/>
    <x v="5"/>
    <x v="0"/>
    <x v="0"/>
    <x v="1"/>
    <x v="1"/>
    <n v="48.51"/>
    <n v="19"/>
    <n v="921.69"/>
  </r>
  <r>
    <s v="S203"/>
    <x v="167"/>
    <x v="0"/>
    <x v="5"/>
    <x v="1"/>
    <x v="3"/>
    <x v="1"/>
    <n v="65.56"/>
    <n v="16"/>
    <n v="1048.96"/>
  </r>
  <r>
    <s v="S204"/>
    <x v="168"/>
    <x v="1"/>
    <x v="3"/>
    <x v="3"/>
    <x v="3"/>
    <x v="1"/>
    <n v="227.68"/>
    <n v="3"/>
    <n v="683.04"/>
  </r>
  <r>
    <s v="S205"/>
    <x v="169"/>
    <x v="3"/>
    <x v="1"/>
    <x v="5"/>
    <x v="3"/>
    <x v="2"/>
    <n v="163.41"/>
    <n v="4"/>
    <n v="653.64"/>
  </r>
  <r>
    <s v="S206"/>
    <x v="170"/>
    <x v="3"/>
    <x v="5"/>
    <x v="2"/>
    <x v="6"/>
    <x v="2"/>
    <n v="32.020000000000003"/>
    <n v="4"/>
    <n v="128.08000000000001"/>
  </r>
  <r>
    <s v="S207"/>
    <x v="171"/>
    <x v="5"/>
    <x v="5"/>
    <x v="3"/>
    <x v="2"/>
    <x v="0"/>
    <n v="52.32"/>
    <n v="18"/>
    <n v="941.76"/>
  </r>
  <r>
    <s v="S208"/>
    <x v="172"/>
    <x v="5"/>
    <x v="5"/>
    <x v="4"/>
    <x v="3"/>
    <x v="0"/>
    <n v="175.97"/>
    <n v="4"/>
    <n v="703.88"/>
  </r>
  <r>
    <s v="S209"/>
    <x v="29"/>
    <x v="3"/>
    <x v="3"/>
    <x v="4"/>
    <x v="0"/>
    <x v="2"/>
    <n v="31.11"/>
    <n v="12"/>
    <n v="373.32"/>
  </r>
  <r>
    <s v="S210"/>
    <x v="39"/>
    <x v="2"/>
    <x v="0"/>
    <x v="0"/>
    <x v="1"/>
    <x v="2"/>
    <n v="65.38"/>
    <n v="12"/>
    <n v="784.56"/>
  </r>
  <r>
    <s v="S211"/>
    <x v="173"/>
    <x v="0"/>
    <x v="3"/>
    <x v="5"/>
    <x v="2"/>
    <x v="0"/>
    <n v="150.72"/>
    <n v="7"/>
    <n v="1055.04"/>
  </r>
  <r>
    <s v="S212"/>
    <x v="174"/>
    <x v="0"/>
    <x v="1"/>
    <x v="0"/>
    <x v="0"/>
    <x v="0"/>
    <n v="182.22"/>
    <n v="20"/>
    <n v="3644.4"/>
  </r>
  <r>
    <s v="S213"/>
    <x v="175"/>
    <x v="0"/>
    <x v="5"/>
    <x v="2"/>
    <x v="5"/>
    <x v="0"/>
    <n v="173.43"/>
    <n v="7"/>
    <n v="1214.01"/>
  </r>
  <r>
    <s v="S214"/>
    <x v="167"/>
    <x v="3"/>
    <x v="5"/>
    <x v="5"/>
    <x v="3"/>
    <x v="0"/>
    <n v="79.34"/>
    <n v="11"/>
    <n v="872.74"/>
  </r>
  <r>
    <s v="S215"/>
    <x v="176"/>
    <x v="4"/>
    <x v="2"/>
    <x v="5"/>
    <x v="2"/>
    <x v="0"/>
    <n v="186.68"/>
    <n v="18"/>
    <n v="3360.24"/>
  </r>
  <r>
    <s v="S216"/>
    <x v="162"/>
    <x v="4"/>
    <x v="2"/>
    <x v="1"/>
    <x v="3"/>
    <x v="0"/>
    <n v="82.19"/>
    <n v="1"/>
    <n v="82.19"/>
  </r>
  <r>
    <s v="S217"/>
    <x v="75"/>
    <x v="0"/>
    <x v="2"/>
    <x v="3"/>
    <x v="6"/>
    <x v="1"/>
    <n v="101.59"/>
    <n v="9"/>
    <n v="914.31"/>
  </r>
  <r>
    <s v="S218"/>
    <x v="177"/>
    <x v="5"/>
    <x v="3"/>
    <x v="0"/>
    <x v="5"/>
    <x v="1"/>
    <n v="194.23"/>
    <n v="3"/>
    <n v="582.69000000000005"/>
  </r>
  <r>
    <s v="S219"/>
    <x v="178"/>
    <x v="2"/>
    <x v="2"/>
    <x v="1"/>
    <x v="1"/>
    <x v="1"/>
    <n v="172.92"/>
    <n v="15"/>
    <n v="2593.8000000000002"/>
  </r>
  <r>
    <s v="S220"/>
    <x v="179"/>
    <x v="4"/>
    <x v="3"/>
    <x v="3"/>
    <x v="1"/>
    <x v="0"/>
    <n v="216.83"/>
    <n v="17"/>
    <n v="3686.11"/>
  </r>
  <r>
    <s v="S221"/>
    <x v="180"/>
    <x v="5"/>
    <x v="0"/>
    <x v="5"/>
    <x v="6"/>
    <x v="1"/>
    <n v="174.67"/>
    <n v="13"/>
    <n v="2270.71"/>
  </r>
  <r>
    <s v="S222"/>
    <x v="181"/>
    <x v="0"/>
    <x v="4"/>
    <x v="1"/>
    <x v="0"/>
    <x v="0"/>
    <n v="155.03"/>
    <n v="3"/>
    <n v="465.09"/>
  </r>
  <r>
    <s v="S223"/>
    <x v="27"/>
    <x v="2"/>
    <x v="0"/>
    <x v="1"/>
    <x v="5"/>
    <x v="1"/>
    <n v="50.61"/>
    <n v="9"/>
    <n v="455.49"/>
  </r>
  <r>
    <s v="S224"/>
    <x v="182"/>
    <x v="2"/>
    <x v="5"/>
    <x v="0"/>
    <x v="6"/>
    <x v="1"/>
    <n v="110.9"/>
    <n v="13"/>
    <n v="1441.7"/>
  </r>
  <r>
    <s v="S225"/>
    <x v="7"/>
    <x v="0"/>
    <x v="0"/>
    <x v="5"/>
    <x v="4"/>
    <x v="1"/>
    <n v="88.34"/>
    <n v="14"/>
    <n v="1236.76"/>
  </r>
  <r>
    <s v="S226"/>
    <x v="183"/>
    <x v="1"/>
    <x v="2"/>
    <x v="4"/>
    <x v="6"/>
    <x v="0"/>
    <n v="83.68"/>
    <n v="18"/>
    <n v="1506.24"/>
  </r>
  <r>
    <s v="S227"/>
    <x v="184"/>
    <x v="5"/>
    <x v="3"/>
    <x v="4"/>
    <x v="2"/>
    <x v="0"/>
    <n v="244.06"/>
    <n v="11"/>
    <n v="2684.66"/>
  </r>
  <r>
    <s v="S228"/>
    <x v="69"/>
    <x v="4"/>
    <x v="0"/>
    <x v="0"/>
    <x v="3"/>
    <x v="0"/>
    <n v="116.48"/>
    <n v="14"/>
    <n v="1630.72"/>
  </r>
  <r>
    <s v="S229"/>
    <x v="185"/>
    <x v="0"/>
    <x v="1"/>
    <x v="5"/>
    <x v="1"/>
    <x v="2"/>
    <n v="226.25"/>
    <n v="16"/>
    <n v="3620"/>
  </r>
  <r>
    <s v="S230"/>
    <x v="35"/>
    <x v="3"/>
    <x v="5"/>
    <x v="5"/>
    <x v="5"/>
    <x v="1"/>
    <n v="168.85"/>
    <n v="12"/>
    <n v="2026.2"/>
  </r>
  <r>
    <s v="S231"/>
    <x v="186"/>
    <x v="1"/>
    <x v="1"/>
    <x v="4"/>
    <x v="3"/>
    <x v="1"/>
    <n v="204.86"/>
    <n v="11"/>
    <n v="2253.46"/>
  </r>
  <r>
    <s v="S232"/>
    <x v="2"/>
    <x v="4"/>
    <x v="5"/>
    <x v="0"/>
    <x v="3"/>
    <x v="0"/>
    <n v="140.58000000000001"/>
    <n v="2"/>
    <n v="281.16000000000003"/>
  </r>
  <r>
    <s v="S233"/>
    <x v="9"/>
    <x v="3"/>
    <x v="2"/>
    <x v="3"/>
    <x v="6"/>
    <x v="0"/>
    <n v="156.91999999999999"/>
    <n v="17"/>
    <n v="2667.64"/>
  </r>
  <r>
    <s v="S234"/>
    <x v="178"/>
    <x v="2"/>
    <x v="4"/>
    <x v="5"/>
    <x v="4"/>
    <x v="2"/>
    <n v="138.35"/>
    <n v="12"/>
    <n v="1660.2"/>
  </r>
  <r>
    <s v="S235"/>
    <x v="125"/>
    <x v="5"/>
    <x v="5"/>
    <x v="1"/>
    <x v="5"/>
    <x v="1"/>
    <n v="72.95"/>
    <n v="8"/>
    <n v="583.6"/>
  </r>
  <r>
    <s v="S236"/>
    <x v="187"/>
    <x v="0"/>
    <x v="5"/>
    <x v="3"/>
    <x v="4"/>
    <x v="1"/>
    <n v="188.94"/>
    <n v="18"/>
    <n v="3400.92"/>
  </r>
  <r>
    <s v="S237"/>
    <x v="12"/>
    <x v="3"/>
    <x v="4"/>
    <x v="3"/>
    <x v="4"/>
    <x v="2"/>
    <n v="91.77"/>
    <n v="1"/>
    <n v="91.77"/>
  </r>
  <r>
    <s v="S238"/>
    <x v="150"/>
    <x v="0"/>
    <x v="2"/>
    <x v="2"/>
    <x v="5"/>
    <x v="1"/>
    <n v="35.35"/>
    <n v="12"/>
    <n v="424.2"/>
  </r>
  <r>
    <s v="S239"/>
    <x v="188"/>
    <x v="3"/>
    <x v="0"/>
    <x v="3"/>
    <x v="1"/>
    <x v="0"/>
    <n v="172"/>
    <n v="3"/>
    <n v="516"/>
  </r>
  <r>
    <s v="S240"/>
    <x v="189"/>
    <x v="5"/>
    <x v="3"/>
    <x v="4"/>
    <x v="3"/>
    <x v="0"/>
    <n v="68.959999999999994"/>
    <n v="7"/>
    <n v="482.72"/>
  </r>
  <r>
    <s v="S241"/>
    <x v="171"/>
    <x v="1"/>
    <x v="4"/>
    <x v="1"/>
    <x v="5"/>
    <x v="0"/>
    <n v="236.9"/>
    <n v="10"/>
    <n v="2369"/>
  </r>
  <r>
    <s v="S242"/>
    <x v="126"/>
    <x v="3"/>
    <x v="5"/>
    <x v="5"/>
    <x v="2"/>
    <x v="0"/>
    <n v="239.86"/>
    <n v="5"/>
    <n v="1199.3"/>
  </r>
  <r>
    <s v="S243"/>
    <x v="190"/>
    <x v="1"/>
    <x v="3"/>
    <x v="4"/>
    <x v="5"/>
    <x v="2"/>
    <n v="231.27"/>
    <n v="15"/>
    <n v="3469.05"/>
  </r>
  <r>
    <s v="S244"/>
    <x v="172"/>
    <x v="3"/>
    <x v="5"/>
    <x v="5"/>
    <x v="3"/>
    <x v="2"/>
    <n v="111.43"/>
    <n v="9"/>
    <n v="1002.87"/>
  </r>
  <r>
    <s v="S245"/>
    <x v="191"/>
    <x v="1"/>
    <x v="0"/>
    <x v="1"/>
    <x v="6"/>
    <x v="1"/>
    <n v="33.4"/>
    <n v="10"/>
    <n v="334"/>
  </r>
  <r>
    <s v="S246"/>
    <x v="192"/>
    <x v="0"/>
    <x v="2"/>
    <x v="4"/>
    <x v="5"/>
    <x v="0"/>
    <n v="234.23"/>
    <n v="10"/>
    <n v="2342.3000000000002"/>
  </r>
  <r>
    <s v="S247"/>
    <x v="94"/>
    <x v="4"/>
    <x v="2"/>
    <x v="2"/>
    <x v="4"/>
    <x v="2"/>
    <n v="124.2"/>
    <n v="7"/>
    <n v="869.4"/>
  </r>
  <r>
    <s v="S248"/>
    <x v="10"/>
    <x v="0"/>
    <x v="1"/>
    <x v="4"/>
    <x v="2"/>
    <x v="2"/>
    <n v="242.66"/>
    <n v="11"/>
    <n v="2669.26"/>
  </r>
  <r>
    <s v="S249"/>
    <x v="75"/>
    <x v="5"/>
    <x v="5"/>
    <x v="3"/>
    <x v="0"/>
    <x v="1"/>
    <n v="242"/>
    <n v="5"/>
    <n v="1210"/>
  </r>
  <r>
    <s v="S250"/>
    <x v="62"/>
    <x v="0"/>
    <x v="3"/>
    <x v="3"/>
    <x v="1"/>
    <x v="2"/>
    <n v="217.66"/>
    <n v="12"/>
    <n v="2611.92"/>
  </r>
  <r>
    <s v="S251"/>
    <x v="193"/>
    <x v="0"/>
    <x v="4"/>
    <x v="1"/>
    <x v="6"/>
    <x v="1"/>
    <n v="94.78"/>
    <n v="15"/>
    <n v="1421.7"/>
  </r>
  <r>
    <s v="S252"/>
    <x v="194"/>
    <x v="4"/>
    <x v="1"/>
    <x v="4"/>
    <x v="1"/>
    <x v="2"/>
    <n v="114.72"/>
    <n v="14"/>
    <n v="1606.08"/>
  </r>
  <r>
    <s v="S253"/>
    <x v="154"/>
    <x v="5"/>
    <x v="0"/>
    <x v="0"/>
    <x v="1"/>
    <x v="2"/>
    <n v="217.25"/>
    <n v="20"/>
    <n v="4345"/>
  </r>
  <r>
    <s v="S254"/>
    <x v="54"/>
    <x v="5"/>
    <x v="5"/>
    <x v="4"/>
    <x v="5"/>
    <x v="0"/>
    <n v="99.72"/>
    <n v="8"/>
    <n v="797.76"/>
  </r>
  <r>
    <s v="S255"/>
    <x v="159"/>
    <x v="1"/>
    <x v="4"/>
    <x v="2"/>
    <x v="3"/>
    <x v="0"/>
    <n v="67.290000000000006"/>
    <n v="10"/>
    <n v="672.9"/>
  </r>
  <r>
    <s v="S256"/>
    <x v="195"/>
    <x v="1"/>
    <x v="1"/>
    <x v="1"/>
    <x v="5"/>
    <x v="0"/>
    <n v="152.5"/>
    <n v="17"/>
    <n v="2592.5"/>
  </r>
  <r>
    <s v="S257"/>
    <x v="196"/>
    <x v="1"/>
    <x v="0"/>
    <x v="2"/>
    <x v="0"/>
    <x v="0"/>
    <n v="235.95"/>
    <n v="12"/>
    <n v="2831.4"/>
  </r>
  <r>
    <s v="S258"/>
    <x v="153"/>
    <x v="3"/>
    <x v="2"/>
    <x v="1"/>
    <x v="0"/>
    <x v="1"/>
    <n v="183.13"/>
    <n v="9"/>
    <n v="1648.17"/>
  </r>
  <r>
    <s v="S259"/>
    <x v="59"/>
    <x v="1"/>
    <x v="3"/>
    <x v="4"/>
    <x v="4"/>
    <x v="1"/>
    <n v="155.41"/>
    <n v="6"/>
    <n v="932.46"/>
  </r>
  <r>
    <s v="S260"/>
    <x v="197"/>
    <x v="1"/>
    <x v="5"/>
    <x v="3"/>
    <x v="2"/>
    <x v="1"/>
    <n v="51.38"/>
    <n v="15"/>
    <n v="770.7"/>
  </r>
  <r>
    <s v="S261"/>
    <x v="198"/>
    <x v="3"/>
    <x v="3"/>
    <x v="5"/>
    <x v="6"/>
    <x v="2"/>
    <n v="165.3"/>
    <n v="11"/>
    <n v="1818.3"/>
  </r>
  <r>
    <s v="S262"/>
    <x v="199"/>
    <x v="4"/>
    <x v="5"/>
    <x v="5"/>
    <x v="3"/>
    <x v="1"/>
    <n v="247.81"/>
    <n v="10"/>
    <n v="2478.1"/>
  </r>
  <r>
    <s v="S263"/>
    <x v="50"/>
    <x v="5"/>
    <x v="3"/>
    <x v="5"/>
    <x v="1"/>
    <x v="2"/>
    <n v="60.82"/>
    <n v="10"/>
    <n v="608.20000000000005"/>
  </r>
  <r>
    <s v="S264"/>
    <x v="42"/>
    <x v="1"/>
    <x v="1"/>
    <x v="1"/>
    <x v="5"/>
    <x v="1"/>
    <n v="144.03"/>
    <n v="3"/>
    <n v="432.09"/>
  </r>
  <r>
    <s v="S265"/>
    <x v="200"/>
    <x v="2"/>
    <x v="5"/>
    <x v="3"/>
    <x v="1"/>
    <x v="2"/>
    <n v="223.02"/>
    <n v="15"/>
    <n v="3345.3"/>
  </r>
  <r>
    <s v="S266"/>
    <x v="201"/>
    <x v="4"/>
    <x v="5"/>
    <x v="4"/>
    <x v="5"/>
    <x v="0"/>
    <n v="192.97"/>
    <n v="7"/>
    <n v="1350.79"/>
  </r>
  <r>
    <s v="S267"/>
    <x v="202"/>
    <x v="0"/>
    <x v="4"/>
    <x v="3"/>
    <x v="1"/>
    <x v="1"/>
    <n v="183.34"/>
    <n v="15"/>
    <n v="2750.1"/>
  </r>
  <r>
    <s v="S268"/>
    <x v="203"/>
    <x v="0"/>
    <x v="2"/>
    <x v="3"/>
    <x v="6"/>
    <x v="2"/>
    <n v="184.55"/>
    <n v="6"/>
    <n v="1107.3"/>
  </r>
  <r>
    <s v="S269"/>
    <x v="204"/>
    <x v="2"/>
    <x v="2"/>
    <x v="0"/>
    <x v="3"/>
    <x v="2"/>
    <n v="109.09"/>
    <n v="17"/>
    <n v="1854.53"/>
  </r>
  <r>
    <s v="S270"/>
    <x v="205"/>
    <x v="4"/>
    <x v="0"/>
    <x v="1"/>
    <x v="1"/>
    <x v="1"/>
    <n v="94.59"/>
    <n v="14"/>
    <n v="1324.26"/>
  </r>
  <r>
    <s v="S271"/>
    <x v="206"/>
    <x v="0"/>
    <x v="4"/>
    <x v="5"/>
    <x v="5"/>
    <x v="1"/>
    <n v="208.06"/>
    <n v="11"/>
    <n v="2288.66"/>
  </r>
  <r>
    <s v="S272"/>
    <x v="149"/>
    <x v="4"/>
    <x v="0"/>
    <x v="3"/>
    <x v="5"/>
    <x v="0"/>
    <n v="208.22"/>
    <n v="10"/>
    <n v="2082.1999999999998"/>
  </r>
  <r>
    <s v="S273"/>
    <x v="207"/>
    <x v="2"/>
    <x v="0"/>
    <x v="2"/>
    <x v="3"/>
    <x v="2"/>
    <n v="220.76"/>
    <n v="3"/>
    <n v="662.28"/>
  </r>
  <r>
    <s v="S274"/>
    <x v="208"/>
    <x v="3"/>
    <x v="5"/>
    <x v="3"/>
    <x v="1"/>
    <x v="2"/>
    <n v="230.91"/>
    <n v="13"/>
    <n v="3001.83"/>
  </r>
  <r>
    <s v="S275"/>
    <x v="62"/>
    <x v="1"/>
    <x v="4"/>
    <x v="2"/>
    <x v="2"/>
    <x v="1"/>
    <n v="142.5"/>
    <n v="13"/>
    <n v="1852.5"/>
  </r>
  <r>
    <s v="S276"/>
    <x v="209"/>
    <x v="0"/>
    <x v="0"/>
    <x v="3"/>
    <x v="6"/>
    <x v="1"/>
    <n v="140.33000000000001"/>
    <n v="17"/>
    <n v="2385.61"/>
  </r>
  <r>
    <s v="S277"/>
    <x v="140"/>
    <x v="4"/>
    <x v="4"/>
    <x v="2"/>
    <x v="0"/>
    <x v="2"/>
    <n v="205.62"/>
    <n v="1"/>
    <n v="205.62"/>
  </r>
  <r>
    <s v="S278"/>
    <x v="95"/>
    <x v="3"/>
    <x v="2"/>
    <x v="2"/>
    <x v="1"/>
    <x v="2"/>
    <n v="172.99"/>
    <n v="7"/>
    <n v="1210.93"/>
  </r>
  <r>
    <s v="S279"/>
    <x v="210"/>
    <x v="2"/>
    <x v="0"/>
    <x v="1"/>
    <x v="1"/>
    <x v="1"/>
    <n v="184.43"/>
    <n v="17"/>
    <n v="3135.31"/>
  </r>
  <r>
    <s v="S280"/>
    <x v="211"/>
    <x v="3"/>
    <x v="5"/>
    <x v="4"/>
    <x v="0"/>
    <x v="0"/>
    <n v="205.07"/>
    <n v="20"/>
    <n v="4101.3999999999996"/>
  </r>
  <r>
    <s v="S281"/>
    <x v="212"/>
    <x v="3"/>
    <x v="0"/>
    <x v="4"/>
    <x v="1"/>
    <x v="2"/>
    <n v="225.8"/>
    <n v="20"/>
    <n v="4516"/>
  </r>
  <r>
    <s v="S282"/>
    <x v="213"/>
    <x v="5"/>
    <x v="5"/>
    <x v="0"/>
    <x v="4"/>
    <x v="1"/>
    <n v="104.36"/>
    <n v="8"/>
    <n v="834.88"/>
  </r>
  <r>
    <s v="S283"/>
    <x v="214"/>
    <x v="2"/>
    <x v="2"/>
    <x v="0"/>
    <x v="4"/>
    <x v="2"/>
    <n v="112.63"/>
    <n v="8"/>
    <n v="901.04"/>
  </r>
  <r>
    <s v="S284"/>
    <x v="215"/>
    <x v="1"/>
    <x v="5"/>
    <x v="4"/>
    <x v="6"/>
    <x v="2"/>
    <n v="50.68"/>
    <n v="12"/>
    <n v="608.16"/>
  </r>
  <r>
    <s v="S285"/>
    <x v="20"/>
    <x v="2"/>
    <x v="3"/>
    <x v="2"/>
    <x v="4"/>
    <x v="0"/>
    <n v="157.22"/>
    <n v="17"/>
    <n v="2672.74"/>
  </r>
  <r>
    <s v="S286"/>
    <x v="7"/>
    <x v="4"/>
    <x v="1"/>
    <x v="3"/>
    <x v="6"/>
    <x v="2"/>
    <n v="37.909999999999997"/>
    <n v="5"/>
    <n v="189.55"/>
  </r>
  <r>
    <s v="S287"/>
    <x v="53"/>
    <x v="1"/>
    <x v="5"/>
    <x v="5"/>
    <x v="3"/>
    <x v="0"/>
    <n v="132.43"/>
    <n v="4"/>
    <n v="529.72"/>
  </r>
  <r>
    <s v="S288"/>
    <x v="216"/>
    <x v="5"/>
    <x v="5"/>
    <x v="2"/>
    <x v="4"/>
    <x v="2"/>
    <n v="149.38"/>
    <n v="9"/>
    <n v="1344.42"/>
  </r>
  <r>
    <s v="S289"/>
    <x v="161"/>
    <x v="5"/>
    <x v="4"/>
    <x v="5"/>
    <x v="6"/>
    <x v="0"/>
    <n v="93.04"/>
    <n v="8"/>
    <n v="744.32"/>
  </r>
  <r>
    <s v="S290"/>
    <x v="159"/>
    <x v="4"/>
    <x v="2"/>
    <x v="4"/>
    <x v="1"/>
    <x v="2"/>
    <n v="159.97999999999999"/>
    <n v="17"/>
    <n v="2719.66"/>
  </r>
  <r>
    <s v="S291"/>
    <x v="217"/>
    <x v="4"/>
    <x v="1"/>
    <x v="3"/>
    <x v="2"/>
    <x v="2"/>
    <n v="36.71"/>
    <n v="1"/>
    <n v="36.71"/>
  </r>
  <r>
    <s v="S292"/>
    <x v="153"/>
    <x v="0"/>
    <x v="4"/>
    <x v="4"/>
    <x v="2"/>
    <x v="0"/>
    <n v="38.22"/>
    <n v="5"/>
    <n v="191.1"/>
  </r>
  <r>
    <s v="S293"/>
    <x v="218"/>
    <x v="5"/>
    <x v="5"/>
    <x v="5"/>
    <x v="1"/>
    <x v="0"/>
    <n v="210.97"/>
    <n v="16"/>
    <n v="3375.52"/>
  </r>
  <r>
    <s v="S294"/>
    <x v="163"/>
    <x v="3"/>
    <x v="5"/>
    <x v="3"/>
    <x v="5"/>
    <x v="1"/>
    <n v="109.24"/>
    <n v="7"/>
    <n v="764.68"/>
  </r>
  <r>
    <s v="S295"/>
    <x v="2"/>
    <x v="4"/>
    <x v="2"/>
    <x v="0"/>
    <x v="1"/>
    <x v="0"/>
    <n v="57.95"/>
    <n v="4"/>
    <n v="231.8"/>
  </r>
  <r>
    <s v="S296"/>
    <x v="219"/>
    <x v="1"/>
    <x v="5"/>
    <x v="4"/>
    <x v="1"/>
    <x v="0"/>
    <n v="144.88999999999999"/>
    <n v="14"/>
    <n v="2028.46"/>
  </r>
  <r>
    <s v="S297"/>
    <x v="144"/>
    <x v="2"/>
    <x v="1"/>
    <x v="3"/>
    <x v="5"/>
    <x v="1"/>
    <n v="199.4"/>
    <n v="20"/>
    <n v="3988"/>
  </r>
  <r>
    <s v="S298"/>
    <x v="155"/>
    <x v="4"/>
    <x v="3"/>
    <x v="5"/>
    <x v="5"/>
    <x v="2"/>
    <n v="77.48"/>
    <n v="5"/>
    <n v="387.4"/>
  </r>
  <r>
    <s v="S299"/>
    <x v="155"/>
    <x v="5"/>
    <x v="2"/>
    <x v="3"/>
    <x v="2"/>
    <x v="0"/>
    <n v="167.04"/>
    <n v="19"/>
    <n v="3173.76"/>
  </r>
  <r>
    <s v="S300"/>
    <x v="204"/>
    <x v="0"/>
    <x v="5"/>
    <x v="1"/>
    <x v="5"/>
    <x v="1"/>
    <n v="48.78"/>
    <n v="12"/>
    <n v="585.36"/>
  </r>
  <r>
    <s v="S301"/>
    <x v="53"/>
    <x v="5"/>
    <x v="3"/>
    <x v="5"/>
    <x v="2"/>
    <x v="2"/>
    <n v="41.37"/>
    <n v="1"/>
    <n v="41.37"/>
  </r>
  <r>
    <s v="S302"/>
    <x v="30"/>
    <x v="1"/>
    <x v="1"/>
    <x v="0"/>
    <x v="4"/>
    <x v="0"/>
    <n v="146.9"/>
    <n v="9"/>
    <n v="1322.1"/>
  </r>
  <r>
    <s v="S303"/>
    <x v="220"/>
    <x v="1"/>
    <x v="0"/>
    <x v="3"/>
    <x v="1"/>
    <x v="1"/>
    <n v="148.94"/>
    <n v="8"/>
    <n v="1191.52"/>
  </r>
  <r>
    <s v="S304"/>
    <x v="207"/>
    <x v="0"/>
    <x v="4"/>
    <x v="1"/>
    <x v="3"/>
    <x v="1"/>
    <n v="170.23"/>
    <n v="5"/>
    <n v="851.15"/>
  </r>
  <r>
    <s v="S305"/>
    <x v="75"/>
    <x v="1"/>
    <x v="3"/>
    <x v="3"/>
    <x v="0"/>
    <x v="0"/>
    <n v="189.74"/>
    <n v="15"/>
    <n v="2846.1"/>
  </r>
  <r>
    <s v="S306"/>
    <x v="31"/>
    <x v="0"/>
    <x v="4"/>
    <x v="2"/>
    <x v="1"/>
    <x v="0"/>
    <n v="244.69"/>
    <n v="15"/>
    <n v="3670.35"/>
  </r>
  <r>
    <s v="S307"/>
    <x v="221"/>
    <x v="4"/>
    <x v="5"/>
    <x v="4"/>
    <x v="4"/>
    <x v="1"/>
    <n v="143.59"/>
    <n v="11"/>
    <n v="1579.49"/>
  </r>
  <r>
    <s v="S308"/>
    <x v="78"/>
    <x v="0"/>
    <x v="0"/>
    <x v="2"/>
    <x v="3"/>
    <x v="2"/>
    <n v="101.05"/>
    <n v="9"/>
    <n v="909.45"/>
  </r>
  <r>
    <s v="S309"/>
    <x v="222"/>
    <x v="4"/>
    <x v="1"/>
    <x v="0"/>
    <x v="6"/>
    <x v="2"/>
    <n v="204.94"/>
    <n v="11"/>
    <n v="2254.34"/>
  </r>
  <r>
    <s v="S310"/>
    <x v="89"/>
    <x v="4"/>
    <x v="2"/>
    <x v="4"/>
    <x v="2"/>
    <x v="2"/>
    <n v="89.58"/>
    <n v="13"/>
    <n v="1164.54"/>
  </r>
  <r>
    <s v="S311"/>
    <x v="103"/>
    <x v="4"/>
    <x v="1"/>
    <x v="3"/>
    <x v="6"/>
    <x v="0"/>
    <n v="126.57"/>
    <n v="17"/>
    <n v="2151.69"/>
  </r>
  <r>
    <s v="S312"/>
    <x v="223"/>
    <x v="3"/>
    <x v="5"/>
    <x v="0"/>
    <x v="3"/>
    <x v="0"/>
    <n v="47.26"/>
    <n v="20"/>
    <n v="945.2"/>
  </r>
  <r>
    <s v="S313"/>
    <x v="26"/>
    <x v="1"/>
    <x v="4"/>
    <x v="0"/>
    <x v="6"/>
    <x v="1"/>
    <n v="35.58"/>
    <n v="11"/>
    <n v="391.38"/>
  </r>
  <r>
    <s v="S314"/>
    <x v="224"/>
    <x v="1"/>
    <x v="3"/>
    <x v="0"/>
    <x v="6"/>
    <x v="0"/>
    <n v="241.78"/>
    <n v="6"/>
    <n v="1450.68"/>
  </r>
  <r>
    <s v="S315"/>
    <x v="118"/>
    <x v="5"/>
    <x v="4"/>
    <x v="3"/>
    <x v="4"/>
    <x v="0"/>
    <n v="213.92"/>
    <n v="20"/>
    <n v="4278.3999999999996"/>
  </r>
  <r>
    <s v="S316"/>
    <x v="59"/>
    <x v="4"/>
    <x v="5"/>
    <x v="3"/>
    <x v="2"/>
    <x v="0"/>
    <n v="183.11"/>
    <n v="13"/>
    <n v="2380.4299999999998"/>
  </r>
  <r>
    <s v="S317"/>
    <x v="225"/>
    <x v="2"/>
    <x v="0"/>
    <x v="4"/>
    <x v="1"/>
    <x v="0"/>
    <n v="119.97"/>
    <n v="5"/>
    <n v="599.85"/>
  </r>
  <r>
    <s v="S318"/>
    <x v="33"/>
    <x v="1"/>
    <x v="4"/>
    <x v="0"/>
    <x v="6"/>
    <x v="1"/>
    <n v="68.12"/>
    <n v="8"/>
    <n v="544.96"/>
  </r>
  <r>
    <s v="S319"/>
    <x v="226"/>
    <x v="3"/>
    <x v="0"/>
    <x v="4"/>
    <x v="3"/>
    <x v="2"/>
    <n v="64.42"/>
    <n v="20"/>
    <n v="1288.4000000000001"/>
  </r>
  <r>
    <s v="S320"/>
    <x v="181"/>
    <x v="2"/>
    <x v="2"/>
    <x v="1"/>
    <x v="3"/>
    <x v="2"/>
    <n v="85.05"/>
    <n v="3"/>
    <n v="255.15"/>
  </r>
  <r>
    <s v="S321"/>
    <x v="69"/>
    <x v="3"/>
    <x v="1"/>
    <x v="5"/>
    <x v="2"/>
    <x v="0"/>
    <n v="150.83000000000001"/>
    <n v="9"/>
    <n v="1357.47"/>
  </r>
  <r>
    <s v="S322"/>
    <x v="144"/>
    <x v="5"/>
    <x v="5"/>
    <x v="5"/>
    <x v="3"/>
    <x v="2"/>
    <n v="187.21"/>
    <n v="17"/>
    <n v="3182.57"/>
  </r>
  <r>
    <s v="S323"/>
    <x v="52"/>
    <x v="3"/>
    <x v="5"/>
    <x v="0"/>
    <x v="2"/>
    <x v="2"/>
    <n v="175.24"/>
    <n v="15"/>
    <n v="2628.6"/>
  </r>
  <r>
    <s v="S324"/>
    <x v="227"/>
    <x v="3"/>
    <x v="1"/>
    <x v="4"/>
    <x v="0"/>
    <x v="1"/>
    <n v="91.59"/>
    <n v="4"/>
    <n v="366.36"/>
  </r>
  <r>
    <s v="S325"/>
    <x v="181"/>
    <x v="1"/>
    <x v="4"/>
    <x v="3"/>
    <x v="3"/>
    <x v="1"/>
    <n v="240.07"/>
    <n v="3"/>
    <n v="720.21"/>
  </r>
  <r>
    <s v="S326"/>
    <x v="228"/>
    <x v="2"/>
    <x v="4"/>
    <x v="0"/>
    <x v="4"/>
    <x v="0"/>
    <n v="192.34"/>
    <n v="18"/>
    <n v="3462.12"/>
  </r>
  <r>
    <s v="S327"/>
    <x v="229"/>
    <x v="4"/>
    <x v="5"/>
    <x v="2"/>
    <x v="1"/>
    <x v="0"/>
    <n v="151.96"/>
    <n v="6"/>
    <n v="911.76"/>
  </r>
  <r>
    <s v="S328"/>
    <x v="1"/>
    <x v="5"/>
    <x v="1"/>
    <x v="0"/>
    <x v="5"/>
    <x v="1"/>
    <n v="164.58"/>
    <n v="8"/>
    <n v="1316.64"/>
  </r>
  <r>
    <s v="S329"/>
    <x v="103"/>
    <x v="2"/>
    <x v="2"/>
    <x v="1"/>
    <x v="1"/>
    <x v="0"/>
    <n v="122.31"/>
    <n v="15"/>
    <n v="1834.65"/>
  </r>
  <r>
    <s v="S330"/>
    <x v="73"/>
    <x v="1"/>
    <x v="0"/>
    <x v="4"/>
    <x v="5"/>
    <x v="2"/>
    <n v="84.5"/>
    <n v="13"/>
    <n v="1098.5"/>
  </r>
  <r>
    <s v="S331"/>
    <x v="169"/>
    <x v="0"/>
    <x v="2"/>
    <x v="0"/>
    <x v="2"/>
    <x v="0"/>
    <n v="108.31"/>
    <n v="19"/>
    <n v="2057.89"/>
  </r>
  <r>
    <s v="S332"/>
    <x v="230"/>
    <x v="1"/>
    <x v="5"/>
    <x v="0"/>
    <x v="0"/>
    <x v="1"/>
    <n v="196.73"/>
    <n v="15"/>
    <n v="2950.95"/>
  </r>
  <r>
    <s v="S333"/>
    <x v="0"/>
    <x v="3"/>
    <x v="2"/>
    <x v="4"/>
    <x v="5"/>
    <x v="0"/>
    <n v="33.17"/>
    <n v="19"/>
    <n v="630.23"/>
  </r>
  <r>
    <s v="S334"/>
    <x v="231"/>
    <x v="3"/>
    <x v="4"/>
    <x v="2"/>
    <x v="0"/>
    <x v="2"/>
    <n v="55.54"/>
    <n v="17"/>
    <n v="944.18"/>
  </r>
  <r>
    <s v="S335"/>
    <x v="142"/>
    <x v="4"/>
    <x v="5"/>
    <x v="0"/>
    <x v="4"/>
    <x v="0"/>
    <n v="40.119999999999997"/>
    <n v="8"/>
    <n v="320.95999999999998"/>
  </r>
  <r>
    <s v="S336"/>
    <x v="56"/>
    <x v="1"/>
    <x v="5"/>
    <x v="0"/>
    <x v="0"/>
    <x v="1"/>
    <n v="38.96"/>
    <n v="7"/>
    <n v="272.72000000000003"/>
  </r>
  <r>
    <s v="S337"/>
    <x v="76"/>
    <x v="2"/>
    <x v="1"/>
    <x v="1"/>
    <x v="2"/>
    <x v="0"/>
    <n v="218.2"/>
    <n v="20"/>
    <n v="4364"/>
  </r>
  <r>
    <s v="S338"/>
    <x v="97"/>
    <x v="3"/>
    <x v="2"/>
    <x v="3"/>
    <x v="5"/>
    <x v="1"/>
    <n v="184.8"/>
    <n v="19"/>
    <n v="3511.2"/>
  </r>
  <r>
    <s v="S339"/>
    <x v="7"/>
    <x v="2"/>
    <x v="1"/>
    <x v="5"/>
    <x v="1"/>
    <x v="0"/>
    <n v="134.32"/>
    <n v="11"/>
    <n v="1477.52"/>
  </r>
  <r>
    <s v="S340"/>
    <x v="174"/>
    <x v="4"/>
    <x v="0"/>
    <x v="2"/>
    <x v="4"/>
    <x v="1"/>
    <n v="51.52"/>
    <n v="19"/>
    <n v="978.88"/>
  </r>
  <r>
    <s v="S341"/>
    <x v="232"/>
    <x v="1"/>
    <x v="1"/>
    <x v="4"/>
    <x v="2"/>
    <x v="1"/>
    <n v="138.16"/>
    <n v="20"/>
    <n v="2763.2"/>
  </r>
  <r>
    <s v="S342"/>
    <x v="10"/>
    <x v="5"/>
    <x v="2"/>
    <x v="3"/>
    <x v="6"/>
    <x v="2"/>
    <n v="134.16"/>
    <n v="10"/>
    <n v="1341.6"/>
  </r>
  <r>
    <s v="S343"/>
    <x v="131"/>
    <x v="1"/>
    <x v="1"/>
    <x v="2"/>
    <x v="6"/>
    <x v="2"/>
    <n v="68.099999999999994"/>
    <n v="3"/>
    <n v="204.3"/>
  </r>
  <r>
    <s v="S344"/>
    <x v="147"/>
    <x v="3"/>
    <x v="4"/>
    <x v="1"/>
    <x v="0"/>
    <x v="2"/>
    <n v="125.45"/>
    <n v="15"/>
    <n v="1881.75"/>
  </r>
  <r>
    <s v="S345"/>
    <x v="90"/>
    <x v="5"/>
    <x v="2"/>
    <x v="0"/>
    <x v="5"/>
    <x v="1"/>
    <n v="117.67"/>
    <n v="12"/>
    <n v="1412.04"/>
  </r>
  <r>
    <s v="S346"/>
    <x v="54"/>
    <x v="3"/>
    <x v="3"/>
    <x v="5"/>
    <x v="3"/>
    <x v="2"/>
    <n v="165.49"/>
    <n v="11"/>
    <n v="1820.39"/>
  </r>
  <r>
    <s v="S347"/>
    <x v="102"/>
    <x v="0"/>
    <x v="1"/>
    <x v="0"/>
    <x v="6"/>
    <x v="1"/>
    <n v="169.72"/>
    <n v="5"/>
    <n v="848.6"/>
  </r>
  <r>
    <s v="S348"/>
    <x v="233"/>
    <x v="3"/>
    <x v="4"/>
    <x v="1"/>
    <x v="2"/>
    <x v="2"/>
    <n v="39.97"/>
    <n v="8"/>
    <n v="319.76"/>
  </r>
  <r>
    <s v="S349"/>
    <x v="70"/>
    <x v="5"/>
    <x v="5"/>
    <x v="4"/>
    <x v="6"/>
    <x v="2"/>
    <n v="112.41"/>
    <n v="6"/>
    <n v="674.46"/>
  </r>
  <r>
    <s v="S350"/>
    <x v="234"/>
    <x v="0"/>
    <x v="3"/>
    <x v="1"/>
    <x v="6"/>
    <x v="0"/>
    <n v="167.69"/>
    <n v="1"/>
    <n v="167.69"/>
  </r>
  <r>
    <s v="S351"/>
    <x v="235"/>
    <x v="4"/>
    <x v="1"/>
    <x v="5"/>
    <x v="3"/>
    <x v="2"/>
    <n v="140.69"/>
    <n v="19"/>
    <n v="2673.11"/>
  </r>
  <r>
    <s v="S352"/>
    <x v="236"/>
    <x v="4"/>
    <x v="5"/>
    <x v="5"/>
    <x v="4"/>
    <x v="0"/>
    <n v="218.43"/>
    <n v="16"/>
    <n v="3494.88"/>
  </r>
  <r>
    <s v="S353"/>
    <x v="223"/>
    <x v="4"/>
    <x v="0"/>
    <x v="0"/>
    <x v="4"/>
    <x v="2"/>
    <n v="174.91"/>
    <n v="5"/>
    <n v="874.55"/>
  </r>
  <r>
    <s v="S354"/>
    <x v="237"/>
    <x v="5"/>
    <x v="1"/>
    <x v="1"/>
    <x v="5"/>
    <x v="0"/>
    <n v="65.849999999999994"/>
    <n v="2"/>
    <n v="131.69999999999999"/>
  </r>
  <r>
    <s v="S355"/>
    <x v="140"/>
    <x v="4"/>
    <x v="1"/>
    <x v="4"/>
    <x v="5"/>
    <x v="2"/>
    <n v="45.53"/>
    <n v="18"/>
    <n v="819.54"/>
  </r>
  <r>
    <s v="S356"/>
    <x v="238"/>
    <x v="2"/>
    <x v="0"/>
    <x v="1"/>
    <x v="1"/>
    <x v="0"/>
    <n v="171.33"/>
    <n v="9"/>
    <n v="1541.97"/>
  </r>
  <r>
    <s v="S357"/>
    <x v="35"/>
    <x v="4"/>
    <x v="4"/>
    <x v="1"/>
    <x v="3"/>
    <x v="0"/>
    <n v="35.83"/>
    <n v="13"/>
    <n v="465.79"/>
  </r>
  <r>
    <s v="S358"/>
    <x v="158"/>
    <x v="2"/>
    <x v="3"/>
    <x v="1"/>
    <x v="1"/>
    <x v="0"/>
    <n v="158.87"/>
    <n v="20"/>
    <n v="3177.4"/>
  </r>
  <r>
    <s v="S359"/>
    <x v="64"/>
    <x v="1"/>
    <x v="4"/>
    <x v="4"/>
    <x v="5"/>
    <x v="2"/>
    <n v="236.85"/>
    <n v="5"/>
    <n v="1184.25"/>
  </r>
  <r>
    <s v="S360"/>
    <x v="132"/>
    <x v="2"/>
    <x v="2"/>
    <x v="0"/>
    <x v="5"/>
    <x v="2"/>
    <n v="156.6"/>
    <n v="20"/>
    <n v="3132"/>
  </r>
  <r>
    <s v="S361"/>
    <x v="104"/>
    <x v="2"/>
    <x v="0"/>
    <x v="0"/>
    <x v="5"/>
    <x v="2"/>
    <n v="115.4"/>
    <n v="13"/>
    <n v="1500.2"/>
  </r>
  <r>
    <s v="S362"/>
    <x v="239"/>
    <x v="2"/>
    <x v="3"/>
    <x v="3"/>
    <x v="5"/>
    <x v="2"/>
    <n v="171.52"/>
    <n v="17"/>
    <n v="2915.84"/>
  </r>
  <r>
    <s v="S363"/>
    <x v="240"/>
    <x v="4"/>
    <x v="4"/>
    <x v="3"/>
    <x v="1"/>
    <x v="2"/>
    <n v="130.82"/>
    <n v="1"/>
    <n v="130.82"/>
  </r>
  <r>
    <s v="S364"/>
    <x v="241"/>
    <x v="1"/>
    <x v="0"/>
    <x v="3"/>
    <x v="1"/>
    <x v="1"/>
    <n v="150.04"/>
    <n v="10"/>
    <n v="1500.4"/>
  </r>
  <r>
    <s v="S365"/>
    <x v="78"/>
    <x v="1"/>
    <x v="5"/>
    <x v="1"/>
    <x v="0"/>
    <x v="1"/>
    <n v="237.12"/>
    <n v="9"/>
    <n v="2134.08"/>
  </r>
  <r>
    <s v="S366"/>
    <x v="126"/>
    <x v="5"/>
    <x v="2"/>
    <x v="1"/>
    <x v="2"/>
    <x v="1"/>
    <n v="114.94"/>
    <n v="19"/>
    <n v="2183.86"/>
  </r>
  <r>
    <s v="S367"/>
    <x v="48"/>
    <x v="3"/>
    <x v="0"/>
    <x v="2"/>
    <x v="1"/>
    <x v="1"/>
    <n v="241.46"/>
    <n v="13"/>
    <n v="3138.98"/>
  </r>
  <r>
    <s v="S368"/>
    <x v="242"/>
    <x v="3"/>
    <x v="1"/>
    <x v="4"/>
    <x v="3"/>
    <x v="2"/>
    <n v="229.18"/>
    <n v="4"/>
    <n v="916.72"/>
  </r>
  <r>
    <s v="S369"/>
    <x v="243"/>
    <x v="1"/>
    <x v="2"/>
    <x v="4"/>
    <x v="5"/>
    <x v="1"/>
    <n v="73.069999999999993"/>
    <n v="14"/>
    <n v="1022.98"/>
  </r>
  <r>
    <s v="S370"/>
    <x v="145"/>
    <x v="1"/>
    <x v="2"/>
    <x v="1"/>
    <x v="0"/>
    <x v="1"/>
    <n v="45.26"/>
    <n v="2"/>
    <n v="90.52"/>
  </r>
  <r>
    <s v="S371"/>
    <x v="182"/>
    <x v="2"/>
    <x v="3"/>
    <x v="0"/>
    <x v="0"/>
    <x v="2"/>
    <n v="52.17"/>
    <n v="16"/>
    <n v="834.72"/>
  </r>
  <r>
    <s v="S372"/>
    <x v="244"/>
    <x v="2"/>
    <x v="4"/>
    <x v="3"/>
    <x v="4"/>
    <x v="1"/>
    <n v="34.01"/>
    <n v="11"/>
    <n v="374.11"/>
  </r>
  <r>
    <s v="S373"/>
    <x v="21"/>
    <x v="2"/>
    <x v="3"/>
    <x v="2"/>
    <x v="0"/>
    <x v="2"/>
    <n v="50.78"/>
    <n v="9"/>
    <n v="457.02"/>
  </r>
  <r>
    <s v="S374"/>
    <x v="14"/>
    <x v="3"/>
    <x v="4"/>
    <x v="0"/>
    <x v="2"/>
    <x v="0"/>
    <n v="180.26"/>
    <n v="10"/>
    <n v="1802.6"/>
  </r>
  <r>
    <s v="S375"/>
    <x v="29"/>
    <x v="4"/>
    <x v="3"/>
    <x v="0"/>
    <x v="5"/>
    <x v="1"/>
    <n v="45.66"/>
    <n v="16"/>
    <n v="730.56"/>
  </r>
  <r>
    <s v="S376"/>
    <x v="245"/>
    <x v="0"/>
    <x v="5"/>
    <x v="3"/>
    <x v="5"/>
    <x v="2"/>
    <n v="100.17"/>
    <n v="10"/>
    <n v="1001.7"/>
  </r>
  <r>
    <s v="S377"/>
    <x v="159"/>
    <x v="3"/>
    <x v="4"/>
    <x v="5"/>
    <x v="3"/>
    <x v="1"/>
    <n v="215.87"/>
    <n v="12"/>
    <n v="2590.44"/>
  </r>
  <r>
    <s v="S378"/>
    <x v="26"/>
    <x v="5"/>
    <x v="0"/>
    <x v="0"/>
    <x v="2"/>
    <x v="2"/>
    <n v="35.119999999999997"/>
    <n v="12"/>
    <n v="421.44"/>
  </r>
  <r>
    <s v="S379"/>
    <x v="246"/>
    <x v="2"/>
    <x v="4"/>
    <x v="1"/>
    <x v="2"/>
    <x v="2"/>
    <n v="209.18"/>
    <n v="7"/>
    <n v="1464.26"/>
  </r>
  <r>
    <s v="S380"/>
    <x v="18"/>
    <x v="2"/>
    <x v="0"/>
    <x v="1"/>
    <x v="0"/>
    <x v="0"/>
    <n v="92.01"/>
    <n v="4"/>
    <n v="368.04"/>
  </r>
  <r>
    <s v="S381"/>
    <x v="160"/>
    <x v="3"/>
    <x v="0"/>
    <x v="2"/>
    <x v="1"/>
    <x v="0"/>
    <n v="56"/>
    <n v="17"/>
    <n v="952"/>
  </r>
  <r>
    <s v="S382"/>
    <x v="184"/>
    <x v="1"/>
    <x v="3"/>
    <x v="5"/>
    <x v="2"/>
    <x v="0"/>
    <n v="183.28"/>
    <n v="11"/>
    <n v="2016.08"/>
  </r>
  <r>
    <s v="S383"/>
    <x v="247"/>
    <x v="3"/>
    <x v="3"/>
    <x v="3"/>
    <x v="6"/>
    <x v="2"/>
    <n v="168.37"/>
    <n v="18"/>
    <n v="3030.66"/>
  </r>
  <r>
    <s v="S384"/>
    <x v="183"/>
    <x v="4"/>
    <x v="4"/>
    <x v="0"/>
    <x v="2"/>
    <x v="0"/>
    <n v="223.04"/>
    <n v="7"/>
    <n v="1561.28"/>
  </r>
  <r>
    <s v="S385"/>
    <x v="248"/>
    <x v="3"/>
    <x v="5"/>
    <x v="3"/>
    <x v="2"/>
    <x v="0"/>
    <n v="191.72"/>
    <n v="19"/>
    <n v="3642.68"/>
  </r>
  <r>
    <s v="S386"/>
    <x v="75"/>
    <x v="3"/>
    <x v="1"/>
    <x v="4"/>
    <x v="4"/>
    <x v="2"/>
    <n v="206.77"/>
    <n v="14"/>
    <n v="2894.78"/>
  </r>
  <r>
    <s v="S387"/>
    <x v="46"/>
    <x v="0"/>
    <x v="1"/>
    <x v="0"/>
    <x v="5"/>
    <x v="1"/>
    <n v="92.05"/>
    <n v="10"/>
    <n v="920.5"/>
  </r>
  <r>
    <s v="S388"/>
    <x v="54"/>
    <x v="4"/>
    <x v="3"/>
    <x v="3"/>
    <x v="5"/>
    <x v="1"/>
    <n v="69.040000000000006"/>
    <n v="11"/>
    <n v="759.44"/>
  </r>
  <r>
    <s v="S389"/>
    <x v="249"/>
    <x v="2"/>
    <x v="3"/>
    <x v="0"/>
    <x v="0"/>
    <x v="0"/>
    <n v="195.14"/>
    <n v="5"/>
    <n v="975.7"/>
  </r>
  <r>
    <s v="S390"/>
    <x v="92"/>
    <x v="1"/>
    <x v="3"/>
    <x v="3"/>
    <x v="3"/>
    <x v="1"/>
    <n v="207.5"/>
    <n v="6"/>
    <n v="1245"/>
  </r>
  <r>
    <s v="S391"/>
    <x v="46"/>
    <x v="1"/>
    <x v="4"/>
    <x v="0"/>
    <x v="5"/>
    <x v="1"/>
    <n v="247.91"/>
    <n v="1"/>
    <n v="247.91"/>
  </r>
  <r>
    <s v="S392"/>
    <x v="119"/>
    <x v="2"/>
    <x v="0"/>
    <x v="4"/>
    <x v="4"/>
    <x v="2"/>
    <n v="120.78"/>
    <n v="6"/>
    <n v="724.68"/>
  </r>
  <r>
    <s v="S393"/>
    <x v="250"/>
    <x v="0"/>
    <x v="3"/>
    <x v="3"/>
    <x v="1"/>
    <x v="0"/>
    <n v="111.84"/>
    <n v="11"/>
    <n v="1230.24"/>
  </r>
  <r>
    <s v="S394"/>
    <x v="1"/>
    <x v="4"/>
    <x v="2"/>
    <x v="5"/>
    <x v="3"/>
    <x v="2"/>
    <n v="200.81"/>
    <n v="16"/>
    <n v="3212.96"/>
  </r>
  <r>
    <s v="S395"/>
    <x v="251"/>
    <x v="4"/>
    <x v="4"/>
    <x v="0"/>
    <x v="5"/>
    <x v="1"/>
    <n v="104.98"/>
    <n v="15"/>
    <n v="1574.7"/>
  </r>
  <r>
    <s v="S396"/>
    <x v="125"/>
    <x v="4"/>
    <x v="0"/>
    <x v="0"/>
    <x v="2"/>
    <x v="0"/>
    <n v="234.77"/>
    <n v="1"/>
    <n v="234.77"/>
  </r>
  <r>
    <s v="S397"/>
    <x v="202"/>
    <x v="5"/>
    <x v="4"/>
    <x v="2"/>
    <x v="6"/>
    <x v="1"/>
    <n v="218.85"/>
    <n v="4"/>
    <n v="875.4"/>
  </r>
  <r>
    <s v="S398"/>
    <x v="252"/>
    <x v="1"/>
    <x v="1"/>
    <x v="3"/>
    <x v="3"/>
    <x v="2"/>
    <n v="124.38"/>
    <n v="10"/>
    <n v="1243.8"/>
  </r>
  <r>
    <s v="S399"/>
    <x v="253"/>
    <x v="3"/>
    <x v="2"/>
    <x v="4"/>
    <x v="0"/>
    <x v="2"/>
    <n v="195.19"/>
    <n v="8"/>
    <n v="1561.52"/>
  </r>
  <r>
    <s v="S400"/>
    <x v="128"/>
    <x v="5"/>
    <x v="0"/>
    <x v="1"/>
    <x v="6"/>
    <x v="1"/>
    <n v="196"/>
    <n v="12"/>
    <n v="2352"/>
  </r>
  <r>
    <s v="S401"/>
    <x v="254"/>
    <x v="3"/>
    <x v="0"/>
    <x v="1"/>
    <x v="4"/>
    <x v="0"/>
    <n v="52.69"/>
    <n v="7"/>
    <n v="368.83"/>
  </r>
  <r>
    <s v="S402"/>
    <x v="255"/>
    <x v="2"/>
    <x v="0"/>
    <x v="0"/>
    <x v="1"/>
    <x v="1"/>
    <n v="228.56"/>
    <n v="15"/>
    <n v="3428.4"/>
  </r>
  <r>
    <s v="S403"/>
    <x v="25"/>
    <x v="2"/>
    <x v="5"/>
    <x v="2"/>
    <x v="5"/>
    <x v="1"/>
    <n v="141.16"/>
    <n v="2"/>
    <n v="282.32"/>
  </r>
  <r>
    <s v="S404"/>
    <x v="132"/>
    <x v="4"/>
    <x v="5"/>
    <x v="4"/>
    <x v="1"/>
    <x v="1"/>
    <n v="211.82"/>
    <n v="6"/>
    <n v="1270.92"/>
  </r>
  <r>
    <s v="S405"/>
    <x v="256"/>
    <x v="5"/>
    <x v="1"/>
    <x v="1"/>
    <x v="6"/>
    <x v="0"/>
    <n v="100.41"/>
    <n v="19"/>
    <n v="1907.79"/>
  </r>
  <r>
    <s v="S406"/>
    <x v="131"/>
    <x v="2"/>
    <x v="3"/>
    <x v="4"/>
    <x v="5"/>
    <x v="0"/>
    <n v="227.02"/>
    <n v="5"/>
    <n v="1135.0999999999999"/>
  </r>
  <r>
    <s v="S407"/>
    <x v="62"/>
    <x v="1"/>
    <x v="4"/>
    <x v="3"/>
    <x v="1"/>
    <x v="2"/>
    <n v="115.62"/>
    <n v="15"/>
    <n v="1734.3"/>
  </r>
  <r>
    <s v="S408"/>
    <x v="156"/>
    <x v="1"/>
    <x v="2"/>
    <x v="1"/>
    <x v="1"/>
    <x v="0"/>
    <n v="32.380000000000003"/>
    <n v="1"/>
    <n v="32.380000000000003"/>
  </r>
  <r>
    <s v="S409"/>
    <x v="2"/>
    <x v="1"/>
    <x v="1"/>
    <x v="1"/>
    <x v="1"/>
    <x v="0"/>
    <n v="229.18"/>
    <n v="12"/>
    <n v="2750.16"/>
  </r>
  <r>
    <s v="S410"/>
    <x v="145"/>
    <x v="4"/>
    <x v="3"/>
    <x v="2"/>
    <x v="4"/>
    <x v="0"/>
    <n v="50.08"/>
    <n v="2"/>
    <n v="100.16"/>
  </r>
  <r>
    <s v="S411"/>
    <x v="174"/>
    <x v="4"/>
    <x v="3"/>
    <x v="4"/>
    <x v="4"/>
    <x v="2"/>
    <n v="100.25"/>
    <n v="14"/>
    <n v="1403.5"/>
  </r>
  <r>
    <s v="S412"/>
    <x v="257"/>
    <x v="1"/>
    <x v="0"/>
    <x v="1"/>
    <x v="0"/>
    <x v="1"/>
    <n v="239.01"/>
    <n v="3"/>
    <n v="717.03"/>
  </r>
  <r>
    <s v="S413"/>
    <x v="196"/>
    <x v="3"/>
    <x v="5"/>
    <x v="4"/>
    <x v="5"/>
    <x v="0"/>
    <n v="239.13"/>
    <n v="4"/>
    <n v="956.52"/>
  </r>
  <r>
    <s v="S414"/>
    <x v="217"/>
    <x v="0"/>
    <x v="4"/>
    <x v="4"/>
    <x v="2"/>
    <x v="1"/>
    <n v="156.16"/>
    <n v="1"/>
    <n v="156.16"/>
  </r>
  <r>
    <s v="S415"/>
    <x v="258"/>
    <x v="2"/>
    <x v="3"/>
    <x v="2"/>
    <x v="0"/>
    <x v="2"/>
    <n v="169"/>
    <n v="14"/>
    <n v="2366"/>
  </r>
  <r>
    <s v="S416"/>
    <x v="259"/>
    <x v="4"/>
    <x v="2"/>
    <x v="3"/>
    <x v="4"/>
    <x v="0"/>
    <n v="128.66"/>
    <n v="5"/>
    <n v="643.29999999999995"/>
  </r>
  <r>
    <s v="S417"/>
    <x v="226"/>
    <x v="2"/>
    <x v="1"/>
    <x v="2"/>
    <x v="0"/>
    <x v="0"/>
    <n v="94.51"/>
    <n v="14"/>
    <n v="1323.14"/>
  </r>
  <r>
    <s v="S418"/>
    <x v="210"/>
    <x v="0"/>
    <x v="3"/>
    <x v="1"/>
    <x v="2"/>
    <x v="1"/>
    <n v="102.31"/>
    <n v="20"/>
    <n v="2046.2"/>
  </r>
  <r>
    <s v="S419"/>
    <x v="222"/>
    <x v="1"/>
    <x v="1"/>
    <x v="4"/>
    <x v="6"/>
    <x v="0"/>
    <n v="177.95"/>
    <n v="8"/>
    <n v="1423.6"/>
  </r>
  <r>
    <s v="S420"/>
    <x v="24"/>
    <x v="0"/>
    <x v="2"/>
    <x v="1"/>
    <x v="3"/>
    <x v="0"/>
    <n v="195.52"/>
    <n v="7"/>
    <n v="1368.64"/>
  </r>
  <r>
    <s v="S421"/>
    <x v="260"/>
    <x v="2"/>
    <x v="5"/>
    <x v="3"/>
    <x v="4"/>
    <x v="2"/>
    <n v="204.15"/>
    <n v="11"/>
    <n v="2245.65"/>
  </r>
  <r>
    <s v="S422"/>
    <x v="261"/>
    <x v="3"/>
    <x v="0"/>
    <x v="1"/>
    <x v="0"/>
    <x v="2"/>
    <n v="203.72"/>
    <n v="10"/>
    <n v="2037.2"/>
  </r>
  <r>
    <s v="S423"/>
    <x v="157"/>
    <x v="0"/>
    <x v="5"/>
    <x v="1"/>
    <x v="2"/>
    <x v="0"/>
    <n v="50.07"/>
    <n v="9"/>
    <n v="450.63"/>
  </r>
  <r>
    <s v="S424"/>
    <x v="262"/>
    <x v="2"/>
    <x v="3"/>
    <x v="5"/>
    <x v="3"/>
    <x v="1"/>
    <n v="138.77000000000001"/>
    <n v="14"/>
    <n v="1942.78"/>
  </r>
  <r>
    <s v="S425"/>
    <x v="263"/>
    <x v="2"/>
    <x v="4"/>
    <x v="3"/>
    <x v="6"/>
    <x v="2"/>
    <n v="42.66"/>
    <n v="13"/>
    <n v="554.58000000000004"/>
  </r>
  <r>
    <s v="S426"/>
    <x v="132"/>
    <x v="5"/>
    <x v="2"/>
    <x v="1"/>
    <x v="6"/>
    <x v="0"/>
    <n v="150.9"/>
    <n v="10"/>
    <n v="1509"/>
  </r>
  <r>
    <s v="S427"/>
    <x v="80"/>
    <x v="1"/>
    <x v="2"/>
    <x v="4"/>
    <x v="1"/>
    <x v="1"/>
    <n v="127.14"/>
    <n v="10"/>
    <n v="1271.4000000000001"/>
  </r>
  <r>
    <s v="S428"/>
    <x v="184"/>
    <x v="2"/>
    <x v="5"/>
    <x v="2"/>
    <x v="6"/>
    <x v="0"/>
    <n v="225.29"/>
    <n v="14"/>
    <n v="3154.06"/>
  </r>
  <r>
    <s v="S429"/>
    <x v="156"/>
    <x v="4"/>
    <x v="0"/>
    <x v="5"/>
    <x v="6"/>
    <x v="2"/>
    <n v="107.2"/>
    <n v="7"/>
    <n v="750.4"/>
  </r>
  <r>
    <s v="S430"/>
    <x v="143"/>
    <x v="1"/>
    <x v="2"/>
    <x v="5"/>
    <x v="3"/>
    <x v="2"/>
    <n v="55.75"/>
    <n v="18"/>
    <n v="1003.5"/>
  </r>
  <r>
    <s v="S431"/>
    <x v="264"/>
    <x v="2"/>
    <x v="1"/>
    <x v="5"/>
    <x v="0"/>
    <x v="1"/>
    <n v="61.46"/>
    <n v="20"/>
    <n v="1229.2"/>
  </r>
  <r>
    <s v="S432"/>
    <x v="263"/>
    <x v="3"/>
    <x v="3"/>
    <x v="2"/>
    <x v="4"/>
    <x v="2"/>
    <n v="197.53"/>
    <n v="18"/>
    <n v="3555.54"/>
  </r>
  <r>
    <s v="S433"/>
    <x v="76"/>
    <x v="3"/>
    <x v="2"/>
    <x v="3"/>
    <x v="1"/>
    <x v="1"/>
    <n v="166.01"/>
    <n v="1"/>
    <n v="166.01"/>
  </r>
  <r>
    <s v="S434"/>
    <x v="180"/>
    <x v="1"/>
    <x v="5"/>
    <x v="3"/>
    <x v="0"/>
    <x v="2"/>
    <n v="52.25"/>
    <n v="8"/>
    <n v="418"/>
  </r>
  <r>
    <s v="S435"/>
    <x v="219"/>
    <x v="4"/>
    <x v="4"/>
    <x v="4"/>
    <x v="6"/>
    <x v="1"/>
    <n v="48.5"/>
    <n v="18"/>
    <n v="873"/>
  </r>
  <r>
    <s v="S436"/>
    <x v="265"/>
    <x v="4"/>
    <x v="4"/>
    <x v="0"/>
    <x v="5"/>
    <x v="2"/>
    <n v="184.21"/>
    <n v="12"/>
    <n v="2210.52"/>
  </r>
  <r>
    <s v="S437"/>
    <x v="266"/>
    <x v="1"/>
    <x v="3"/>
    <x v="0"/>
    <x v="0"/>
    <x v="2"/>
    <n v="46.01"/>
    <n v="4"/>
    <n v="184.04"/>
  </r>
  <r>
    <s v="S438"/>
    <x v="69"/>
    <x v="0"/>
    <x v="5"/>
    <x v="2"/>
    <x v="2"/>
    <x v="0"/>
    <n v="210.81"/>
    <n v="14"/>
    <n v="2951.34"/>
  </r>
  <r>
    <s v="S439"/>
    <x v="267"/>
    <x v="2"/>
    <x v="5"/>
    <x v="1"/>
    <x v="2"/>
    <x v="2"/>
    <n v="185.37"/>
    <n v="9"/>
    <n v="1668.33"/>
  </r>
  <r>
    <s v="S440"/>
    <x v="122"/>
    <x v="3"/>
    <x v="4"/>
    <x v="2"/>
    <x v="6"/>
    <x v="1"/>
    <n v="47.9"/>
    <n v="5"/>
    <n v="239.5"/>
  </r>
  <r>
    <s v="S441"/>
    <x v="13"/>
    <x v="2"/>
    <x v="0"/>
    <x v="3"/>
    <x v="3"/>
    <x v="2"/>
    <n v="48.66"/>
    <n v="16"/>
    <n v="778.56"/>
  </r>
  <r>
    <s v="S442"/>
    <x v="115"/>
    <x v="5"/>
    <x v="2"/>
    <x v="3"/>
    <x v="4"/>
    <x v="2"/>
    <n v="247.06"/>
    <n v="16"/>
    <n v="3952.96"/>
  </r>
  <r>
    <s v="S443"/>
    <x v="268"/>
    <x v="1"/>
    <x v="5"/>
    <x v="4"/>
    <x v="0"/>
    <x v="1"/>
    <n v="112.34"/>
    <n v="5"/>
    <n v="561.70000000000005"/>
  </r>
  <r>
    <s v="S444"/>
    <x v="174"/>
    <x v="2"/>
    <x v="1"/>
    <x v="5"/>
    <x v="4"/>
    <x v="1"/>
    <n v="111.54"/>
    <n v="2"/>
    <n v="223.08"/>
  </r>
  <r>
    <s v="S445"/>
    <x v="222"/>
    <x v="5"/>
    <x v="2"/>
    <x v="3"/>
    <x v="0"/>
    <x v="0"/>
    <n v="208.82"/>
    <n v="1"/>
    <n v="208.82"/>
  </r>
  <r>
    <s v="S446"/>
    <x v="109"/>
    <x v="0"/>
    <x v="2"/>
    <x v="1"/>
    <x v="6"/>
    <x v="2"/>
    <n v="238.39"/>
    <n v="5"/>
    <n v="1191.95"/>
  </r>
  <r>
    <s v="S447"/>
    <x v="41"/>
    <x v="1"/>
    <x v="0"/>
    <x v="1"/>
    <x v="6"/>
    <x v="1"/>
    <n v="246.92"/>
    <n v="20"/>
    <n v="4938.3999999999996"/>
  </r>
  <r>
    <s v="S448"/>
    <x v="43"/>
    <x v="0"/>
    <x v="5"/>
    <x v="1"/>
    <x v="6"/>
    <x v="0"/>
    <n v="195.74"/>
    <n v="1"/>
    <n v="195.74"/>
  </r>
  <r>
    <s v="S449"/>
    <x v="267"/>
    <x v="1"/>
    <x v="4"/>
    <x v="1"/>
    <x v="3"/>
    <x v="0"/>
    <n v="112.78"/>
    <n v="17"/>
    <n v="1917.26"/>
  </r>
  <r>
    <s v="S450"/>
    <x v="252"/>
    <x v="3"/>
    <x v="1"/>
    <x v="5"/>
    <x v="5"/>
    <x v="0"/>
    <n v="48.37"/>
    <n v="14"/>
    <n v="677.18"/>
  </r>
  <r>
    <s v="S451"/>
    <x v="155"/>
    <x v="2"/>
    <x v="5"/>
    <x v="0"/>
    <x v="4"/>
    <x v="2"/>
    <n v="200.97"/>
    <n v="7"/>
    <n v="1406.79"/>
  </r>
  <r>
    <s v="S452"/>
    <x v="12"/>
    <x v="0"/>
    <x v="4"/>
    <x v="4"/>
    <x v="6"/>
    <x v="1"/>
    <n v="152.85"/>
    <n v="13"/>
    <n v="1987.05"/>
  </r>
  <r>
    <s v="S453"/>
    <x v="111"/>
    <x v="4"/>
    <x v="0"/>
    <x v="5"/>
    <x v="2"/>
    <x v="1"/>
    <n v="123.33"/>
    <n v="8"/>
    <n v="986.64"/>
  </r>
  <r>
    <s v="S454"/>
    <x v="226"/>
    <x v="5"/>
    <x v="3"/>
    <x v="4"/>
    <x v="5"/>
    <x v="2"/>
    <n v="229.4"/>
    <n v="3"/>
    <n v="688.2"/>
  </r>
  <r>
    <s v="S455"/>
    <x v="269"/>
    <x v="1"/>
    <x v="2"/>
    <x v="5"/>
    <x v="6"/>
    <x v="2"/>
    <n v="54.46"/>
    <n v="1"/>
    <n v="54.46"/>
  </r>
  <r>
    <s v="S456"/>
    <x v="203"/>
    <x v="2"/>
    <x v="1"/>
    <x v="1"/>
    <x v="1"/>
    <x v="0"/>
    <n v="138.38"/>
    <n v="11"/>
    <n v="1522.18"/>
  </r>
  <r>
    <s v="S457"/>
    <x v="99"/>
    <x v="5"/>
    <x v="4"/>
    <x v="5"/>
    <x v="1"/>
    <x v="1"/>
    <n v="32.5"/>
    <n v="19"/>
    <n v="617.5"/>
  </r>
  <r>
    <s v="S458"/>
    <x v="270"/>
    <x v="2"/>
    <x v="0"/>
    <x v="5"/>
    <x v="0"/>
    <x v="2"/>
    <n v="133.11000000000001"/>
    <n v="18"/>
    <n v="2395.98"/>
  </r>
  <r>
    <s v="S459"/>
    <x v="267"/>
    <x v="2"/>
    <x v="2"/>
    <x v="3"/>
    <x v="4"/>
    <x v="2"/>
    <n v="42.39"/>
    <n v="7"/>
    <n v="296.73"/>
  </r>
  <r>
    <s v="S460"/>
    <x v="195"/>
    <x v="3"/>
    <x v="5"/>
    <x v="2"/>
    <x v="5"/>
    <x v="2"/>
    <n v="56.14"/>
    <n v="10"/>
    <n v="561.4"/>
  </r>
  <r>
    <s v="S461"/>
    <x v="105"/>
    <x v="4"/>
    <x v="3"/>
    <x v="3"/>
    <x v="0"/>
    <x v="1"/>
    <n v="55.86"/>
    <n v="18"/>
    <n v="1005.48"/>
  </r>
  <r>
    <s v="S462"/>
    <x v="26"/>
    <x v="1"/>
    <x v="4"/>
    <x v="5"/>
    <x v="1"/>
    <x v="2"/>
    <n v="172.83"/>
    <n v="17"/>
    <n v="2938.11"/>
  </r>
  <r>
    <s v="S463"/>
    <x v="271"/>
    <x v="4"/>
    <x v="5"/>
    <x v="1"/>
    <x v="5"/>
    <x v="2"/>
    <n v="194.13"/>
    <n v="3"/>
    <n v="582.39"/>
  </r>
  <r>
    <s v="S464"/>
    <x v="272"/>
    <x v="1"/>
    <x v="4"/>
    <x v="4"/>
    <x v="6"/>
    <x v="0"/>
    <n v="158.34"/>
    <n v="1"/>
    <n v="158.34"/>
  </r>
  <r>
    <s v="S465"/>
    <x v="273"/>
    <x v="5"/>
    <x v="3"/>
    <x v="2"/>
    <x v="2"/>
    <x v="1"/>
    <n v="241.68"/>
    <n v="18"/>
    <n v="4350.24"/>
  </r>
  <r>
    <s v="S466"/>
    <x v="107"/>
    <x v="0"/>
    <x v="5"/>
    <x v="0"/>
    <x v="4"/>
    <x v="0"/>
    <n v="112.47"/>
    <n v="13"/>
    <n v="1462.11"/>
  </r>
  <r>
    <s v="S467"/>
    <x v="50"/>
    <x v="4"/>
    <x v="2"/>
    <x v="4"/>
    <x v="2"/>
    <x v="1"/>
    <n v="92.86"/>
    <n v="3"/>
    <n v="278.58"/>
  </r>
  <r>
    <s v="S468"/>
    <x v="19"/>
    <x v="4"/>
    <x v="4"/>
    <x v="5"/>
    <x v="1"/>
    <x v="0"/>
    <n v="221.09"/>
    <n v="13"/>
    <n v="2874.17"/>
  </r>
  <r>
    <s v="S469"/>
    <x v="274"/>
    <x v="4"/>
    <x v="4"/>
    <x v="5"/>
    <x v="0"/>
    <x v="0"/>
    <n v="79.19"/>
    <n v="15"/>
    <n v="1187.8499999999999"/>
  </r>
  <r>
    <s v="S470"/>
    <x v="46"/>
    <x v="5"/>
    <x v="5"/>
    <x v="1"/>
    <x v="5"/>
    <x v="2"/>
    <n v="241.91"/>
    <n v="14"/>
    <n v="3386.74"/>
  </r>
  <r>
    <s v="S471"/>
    <x v="6"/>
    <x v="0"/>
    <x v="4"/>
    <x v="1"/>
    <x v="1"/>
    <x v="1"/>
    <n v="32.67"/>
    <n v="1"/>
    <n v="32.67"/>
  </r>
  <r>
    <s v="S472"/>
    <x v="146"/>
    <x v="5"/>
    <x v="1"/>
    <x v="0"/>
    <x v="6"/>
    <x v="2"/>
    <n v="243.37"/>
    <n v="11"/>
    <n v="2677.07"/>
  </r>
  <r>
    <s v="S473"/>
    <x v="275"/>
    <x v="3"/>
    <x v="5"/>
    <x v="1"/>
    <x v="0"/>
    <x v="1"/>
    <n v="39.5"/>
    <n v="18"/>
    <n v="711"/>
  </r>
  <r>
    <s v="S474"/>
    <x v="276"/>
    <x v="3"/>
    <x v="4"/>
    <x v="0"/>
    <x v="3"/>
    <x v="2"/>
    <n v="226.05"/>
    <n v="6"/>
    <n v="1356.3"/>
  </r>
  <r>
    <s v="S475"/>
    <x v="153"/>
    <x v="3"/>
    <x v="3"/>
    <x v="0"/>
    <x v="6"/>
    <x v="2"/>
    <n v="146.09"/>
    <n v="3"/>
    <n v="438.27"/>
  </r>
  <r>
    <s v="S476"/>
    <x v="147"/>
    <x v="4"/>
    <x v="4"/>
    <x v="2"/>
    <x v="2"/>
    <x v="1"/>
    <n v="248.45"/>
    <n v="3"/>
    <n v="745.35"/>
  </r>
  <r>
    <s v="S477"/>
    <x v="277"/>
    <x v="2"/>
    <x v="2"/>
    <x v="4"/>
    <x v="1"/>
    <x v="0"/>
    <n v="46.24"/>
    <n v="20"/>
    <n v="924.8"/>
  </r>
  <r>
    <s v="S478"/>
    <x v="76"/>
    <x v="5"/>
    <x v="4"/>
    <x v="1"/>
    <x v="6"/>
    <x v="2"/>
    <n v="151.85"/>
    <n v="1"/>
    <n v="151.85"/>
  </r>
  <r>
    <s v="S479"/>
    <x v="89"/>
    <x v="5"/>
    <x v="0"/>
    <x v="1"/>
    <x v="0"/>
    <x v="2"/>
    <n v="243.25"/>
    <n v="11"/>
    <n v="2675.75"/>
  </r>
  <r>
    <s v="S480"/>
    <x v="77"/>
    <x v="1"/>
    <x v="2"/>
    <x v="4"/>
    <x v="3"/>
    <x v="0"/>
    <n v="145.08000000000001"/>
    <n v="20"/>
    <n v="2901.6"/>
  </r>
  <r>
    <s v="S481"/>
    <x v="165"/>
    <x v="4"/>
    <x v="0"/>
    <x v="3"/>
    <x v="2"/>
    <x v="2"/>
    <n v="168.47"/>
    <n v="11"/>
    <n v="1853.17"/>
  </r>
  <r>
    <s v="S482"/>
    <x v="260"/>
    <x v="4"/>
    <x v="3"/>
    <x v="0"/>
    <x v="4"/>
    <x v="2"/>
    <n v="183.06"/>
    <n v="8"/>
    <n v="1464.48"/>
  </r>
  <r>
    <s v="S483"/>
    <x v="213"/>
    <x v="2"/>
    <x v="2"/>
    <x v="1"/>
    <x v="5"/>
    <x v="0"/>
    <n v="130"/>
    <n v="4"/>
    <n v="520"/>
  </r>
  <r>
    <s v="S484"/>
    <x v="278"/>
    <x v="0"/>
    <x v="0"/>
    <x v="4"/>
    <x v="2"/>
    <x v="0"/>
    <n v="168.06"/>
    <n v="18"/>
    <n v="3025.08"/>
  </r>
  <r>
    <s v="S485"/>
    <x v="279"/>
    <x v="1"/>
    <x v="1"/>
    <x v="4"/>
    <x v="2"/>
    <x v="2"/>
    <n v="158.55000000000001"/>
    <n v="10"/>
    <n v="1585.5"/>
  </r>
  <r>
    <s v="S486"/>
    <x v="1"/>
    <x v="3"/>
    <x v="4"/>
    <x v="3"/>
    <x v="0"/>
    <x v="1"/>
    <n v="228.25"/>
    <n v="10"/>
    <n v="2282.5"/>
  </r>
  <r>
    <s v="S487"/>
    <x v="2"/>
    <x v="0"/>
    <x v="3"/>
    <x v="1"/>
    <x v="6"/>
    <x v="1"/>
    <n v="40"/>
    <n v="13"/>
    <n v="520"/>
  </r>
  <r>
    <s v="S488"/>
    <x v="188"/>
    <x v="2"/>
    <x v="0"/>
    <x v="4"/>
    <x v="5"/>
    <x v="0"/>
    <n v="91.81"/>
    <n v="18"/>
    <n v="1652.58"/>
  </r>
  <r>
    <s v="S489"/>
    <x v="280"/>
    <x v="2"/>
    <x v="0"/>
    <x v="5"/>
    <x v="1"/>
    <x v="0"/>
    <n v="239.09"/>
    <n v="18"/>
    <n v="4303.62"/>
  </r>
  <r>
    <s v="S490"/>
    <x v="139"/>
    <x v="3"/>
    <x v="0"/>
    <x v="1"/>
    <x v="1"/>
    <x v="1"/>
    <n v="225.86"/>
    <n v="12"/>
    <n v="2710.32"/>
  </r>
  <r>
    <s v="S491"/>
    <x v="203"/>
    <x v="4"/>
    <x v="3"/>
    <x v="5"/>
    <x v="1"/>
    <x v="0"/>
    <n v="130.24"/>
    <n v="13"/>
    <n v="1693.12"/>
  </r>
  <r>
    <s v="S492"/>
    <x v="113"/>
    <x v="2"/>
    <x v="0"/>
    <x v="1"/>
    <x v="5"/>
    <x v="1"/>
    <n v="166.43"/>
    <n v="8"/>
    <n v="1331.44"/>
  </r>
  <r>
    <s v="S493"/>
    <x v="83"/>
    <x v="3"/>
    <x v="3"/>
    <x v="0"/>
    <x v="6"/>
    <x v="2"/>
    <n v="91.02"/>
    <n v="19"/>
    <n v="1729.38"/>
  </r>
  <r>
    <s v="S494"/>
    <x v="67"/>
    <x v="1"/>
    <x v="5"/>
    <x v="2"/>
    <x v="3"/>
    <x v="0"/>
    <n v="71.39"/>
    <n v="19"/>
    <n v="1356.41"/>
  </r>
  <r>
    <s v="S495"/>
    <x v="147"/>
    <x v="4"/>
    <x v="3"/>
    <x v="5"/>
    <x v="1"/>
    <x v="1"/>
    <n v="132.01"/>
    <n v="4"/>
    <n v="528.04"/>
  </r>
  <r>
    <s v="S496"/>
    <x v="281"/>
    <x v="4"/>
    <x v="4"/>
    <x v="4"/>
    <x v="4"/>
    <x v="0"/>
    <n v="107.74"/>
    <n v="12"/>
    <n v="1292.8800000000001"/>
  </r>
  <r>
    <s v="S497"/>
    <x v="282"/>
    <x v="4"/>
    <x v="3"/>
    <x v="5"/>
    <x v="6"/>
    <x v="1"/>
    <n v="158.4"/>
    <n v="16"/>
    <n v="2534.4"/>
  </r>
  <r>
    <s v="S498"/>
    <x v="82"/>
    <x v="4"/>
    <x v="1"/>
    <x v="0"/>
    <x v="1"/>
    <x v="1"/>
    <n v="47.1"/>
    <n v="15"/>
    <n v="706.5"/>
  </r>
  <r>
    <s v="S499"/>
    <x v="177"/>
    <x v="4"/>
    <x v="0"/>
    <x v="5"/>
    <x v="2"/>
    <x v="0"/>
    <n v="244.37"/>
    <n v="1"/>
    <n v="244.37"/>
  </r>
  <r>
    <s v="S494"/>
    <x v="67"/>
    <x v="1"/>
    <x v="5"/>
    <x v="2"/>
    <x v="3"/>
    <x v="0"/>
    <n v="71.39"/>
    <n v="19"/>
    <n v="1356.41"/>
  </r>
  <r>
    <s v="S495"/>
    <x v="147"/>
    <x v="4"/>
    <x v="3"/>
    <x v="5"/>
    <x v="1"/>
    <x v="1"/>
    <n v="132.01"/>
    <n v="4"/>
    <n v="528.04"/>
  </r>
  <r>
    <s v="S496"/>
    <x v="281"/>
    <x v="4"/>
    <x v="4"/>
    <x v="4"/>
    <x v="4"/>
    <x v="0"/>
    <n v="107.74"/>
    <n v="12"/>
    <n v="1292.8800000000001"/>
  </r>
  <r>
    <s v="S497"/>
    <x v="282"/>
    <x v="4"/>
    <x v="3"/>
    <x v="5"/>
    <x v="6"/>
    <x v="1"/>
    <n v="158.4"/>
    <n v="16"/>
    <n v="2534.4"/>
  </r>
  <r>
    <s v="S498"/>
    <x v="82"/>
    <x v="4"/>
    <x v="1"/>
    <x v="0"/>
    <x v="1"/>
    <x v="1"/>
    <n v="47.1"/>
    <n v="15"/>
    <n v="706.5"/>
  </r>
  <r>
    <s v="S499"/>
    <x v="177"/>
    <x v="4"/>
    <x v="0"/>
    <x v="5"/>
    <x v="2"/>
    <x v="0"/>
    <n v="244.37"/>
    <n v="1"/>
    <n v="244.37"/>
  </r>
  <r>
    <s v="S500"/>
    <x v="111"/>
    <x v="3"/>
    <x v="5"/>
    <x v="2"/>
    <x v="3"/>
    <x v="1"/>
    <n v="246.97"/>
    <n v="17"/>
    <n v="4198.49"/>
  </r>
  <r>
    <s v="S501"/>
    <x v="224"/>
    <x v="3"/>
    <x v="3"/>
    <x v="3"/>
    <x v="0"/>
    <x v="0"/>
    <n v="183.6"/>
    <n v="15"/>
    <n v="2754"/>
  </r>
  <r>
    <s v="S502"/>
    <x v="0"/>
    <x v="5"/>
    <x v="1"/>
    <x v="3"/>
    <x v="5"/>
    <x v="0"/>
    <n v="147.94"/>
    <n v="14"/>
    <n v="2071.16"/>
  </r>
  <r>
    <s v="S503"/>
    <x v="230"/>
    <x v="5"/>
    <x v="3"/>
    <x v="5"/>
    <x v="2"/>
    <x v="0"/>
    <n v="98.1"/>
    <n v="19"/>
    <n v="1863.9"/>
  </r>
  <r>
    <s v="S504"/>
    <x v="256"/>
    <x v="1"/>
    <x v="1"/>
    <x v="1"/>
    <x v="1"/>
    <x v="1"/>
    <n v="209.03"/>
    <n v="9"/>
    <n v="1881.27"/>
  </r>
  <r>
    <s v="S505"/>
    <x v="46"/>
    <x v="4"/>
    <x v="2"/>
    <x v="4"/>
    <x v="1"/>
    <x v="2"/>
    <n v="180.64"/>
    <n v="12"/>
    <n v="2167.6799999999998"/>
  </r>
  <r>
    <s v="S506"/>
    <x v="263"/>
    <x v="2"/>
    <x v="0"/>
    <x v="0"/>
    <x v="5"/>
    <x v="2"/>
    <n v="65.78"/>
    <n v="16"/>
    <n v="1052.48"/>
  </r>
  <r>
    <s v="S507"/>
    <x v="81"/>
    <x v="2"/>
    <x v="1"/>
    <x v="0"/>
    <x v="3"/>
    <x v="2"/>
    <n v="230.4"/>
    <n v="13"/>
    <n v="2995.2"/>
  </r>
  <r>
    <s v="S508"/>
    <x v="283"/>
    <x v="1"/>
    <x v="0"/>
    <x v="0"/>
    <x v="5"/>
    <x v="1"/>
    <n v="210.96"/>
    <n v="6"/>
    <n v="1265.76"/>
  </r>
  <r>
    <s v="S509"/>
    <x v="275"/>
    <x v="4"/>
    <x v="1"/>
    <x v="2"/>
    <x v="3"/>
    <x v="0"/>
    <n v="238.96"/>
    <n v="5"/>
    <n v="1194.8"/>
  </r>
  <r>
    <s v="S510"/>
    <x v="38"/>
    <x v="1"/>
    <x v="2"/>
    <x v="1"/>
    <x v="6"/>
    <x v="2"/>
    <n v="189.66"/>
    <n v="12"/>
    <n v="2275.92"/>
  </r>
  <r>
    <s v="S511"/>
    <x v="236"/>
    <x v="2"/>
    <x v="3"/>
    <x v="4"/>
    <x v="0"/>
    <x v="2"/>
    <n v="164.95"/>
    <n v="5"/>
    <n v="824.75"/>
  </r>
  <r>
    <s v="S512"/>
    <x v="11"/>
    <x v="1"/>
    <x v="0"/>
    <x v="2"/>
    <x v="5"/>
    <x v="0"/>
    <n v="122.01"/>
    <n v="18"/>
    <n v="2196.1799999999998"/>
  </r>
  <r>
    <s v="S513"/>
    <x v="115"/>
    <x v="3"/>
    <x v="2"/>
    <x v="0"/>
    <x v="4"/>
    <x v="2"/>
    <n v="235.2"/>
    <n v="10"/>
    <n v="2352"/>
  </r>
  <r>
    <s v="S514"/>
    <x v="48"/>
    <x v="4"/>
    <x v="1"/>
    <x v="4"/>
    <x v="0"/>
    <x v="0"/>
    <n v="220.53"/>
    <n v="2"/>
    <n v="441.06"/>
  </r>
  <r>
    <s v="S515"/>
    <x v="200"/>
    <x v="2"/>
    <x v="0"/>
    <x v="4"/>
    <x v="6"/>
    <x v="1"/>
    <n v="39.950000000000003"/>
    <n v="18"/>
    <n v="719.1"/>
  </r>
  <r>
    <s v="S516"/>
    <x v="116"/>
    <x v="1"/>
    <x v="3"/>
    <x v="4"/>
    <x v="0"/>
    <x v="0"/>
    <n v="35.799999999999997"/>
    <n v="14"/>
    <n v="501.2"/>
  </r>
  <r>
    <s v="S517"/>
    <x v="175"/>
    <x v="3"/>
    <x v="4"/>
    <x v="5"/>
    <x v="3"/>
    <x v="0"/>
    <n v="112.82"/>
    <n v="1"/>
    <n v="112.82"/>
  </r>
  <r>
    <s v="S518"/>
    <x v="71"/>
    <x v="3"/>
    <x v="3"/>
    <x v="1"/>
    <x v="2"/>
    <x v="2"/>
    <n v="208.32"/>
    <n v="10"/>
    <n v="2083.1999999999998"/>
  </r>
  <r>
    <s v="S519"/>
    <x v="238"/>
    <x v="0"/>
    <x v="5"/>
    <x v="5"/>
    <x v="3"/>
    <x v="1"/>
    <n v="247.2"/>
    <n v="17"/>
    <n v="4202.3999999999996"/>
  </r>
  <r>
    <s v="S520"/>
    <x v="237"/>
    <x v="0"/>
    <x v="0"/>
    <x v="4"/>
    <x v="5"/>
    <x v="0"/>
    <n v="63.09"/>
    <n v="18"/>
    <n v="1135.6199999999999"/>
  </r>
  <r>
    <s v="S521"/>
    <x v="284"/>
    <x v="1"/>
    <x v="0"/>
    <x v="2"/>
    <x v="3"/>
    <x v="0"/>
    <n v="160.71"/>
    <n v="4"/>
    <n v="642.84"/>
  </r>
  <r>
    <s v="S522"/>
    <x v="230"/>
    <x v="4"/>
    <x v="1"/>
    <x v="4"/>
    <x v="4"/>
    <x v="0"/>
    <n v="113.8"/>
    <n v="9"/>
    <n v="1024.2"/>
  </r>
  <r>
    <s v="S523"/>
    <x v="261"/>
    <x v="1"/>
    <x v="5"/>
    <x v="3"/>
    <x v="3"/>
    <x v="1"/>
    <n v="243.38"/>
    <n v="7"/>
    <n v="1703.66"/>
  </r>
  <r>
    <s v="S524"/>
    <x v="81"/>
    <x v="3"/>
    <x v="5"/>
    <x v="2"/>
    <x v="4"/>
    <x v="0"/>
    <n v="215.27"/>
    <n v="14"/>
    <n v="3013.78"/>
  </r>
  <r>
    <s v="S525"/>
    <x v="256"/>
    <x v="2"/>
    <x v="4"/>
    <x v="1"/>
    <x v="3"/>
    <x v="1"/>
    <n v="214.43"/>
    <n v="2"/>
    <n v="428.86"/>
  </r>
  <r>
    <s v="S526"/>
    <x v="71"/>
    <x v="4"/>
    <x v="0"/>
    <x v="0"/>
    <x v="3"/>
    <x v="1"/>
    <n v="133.11000000000001"/>
    <n v="6"/>
    <n v="798.66"/>
  </r>
  <r>
    <s v="S527"/>
    <x v="12"/>
    <x v="1"/>
    <x v="1"/>
    <x v="2"/>
    <x v="4"/>
    <x v="2"/>
    <n v="121.26"/>
    <n v="17"/>
    <n v="2061.42"/>
  </r>
  <r>
    <s v="S528"/>
    <x v="41"/>
    <x v="1"/>
    <x v="2"/>
    <x v="3"/>
    <x v="4"/>
    <x v="0"/>
    <n v="90.15"/>
    <n v="9"/>
    <n v="811.35"/>
  </r>
  <r>
    <s v="S529"/>
    <x v="37"/>
    <x v="1"/>
    <x v="4"/>
    <x v="2"/>
    <x v="4"/>
    <x v="1"/>
    <n v="42.4"/>
    <n v="5"/>
    <n v="212"/>
  </r>
  <r>
    <s v="S530"/>
    <x v="285"/>
    <x v="3"/>
    <x v="5"/>
    <x v="3"/>
    <x v="3"/>
    <x v="1"/>
    <n v="220.24"/>
    <n v="16"/>
    <n v="3523.84"/>
  </r>
  <r>
    <s v="S531"/>
    <x v="172"/>
    <x v="5"/>
    <x v="1"/>
    <x v="3"/>
    <x v="4"/>
    <x v="0"/>
    <n v="208.84"/>
    <n v="13"/>
    <n v="2714.92"/>
  </r>
  <r>
    <s v="S532"/>
    <x v="47"/>
    <x v="1"/>
    <x v="4"/>
    <x v="3"/>
    <x v="3"/>
    <x v="2"/>
    <n v="249.94"/>
    <n v="17"/>
    <n v="4248.9799999999996"/>
  </r>
  <r>
    <s v="S533"/>
    <x v="43"/>
    <x v="2"/>
    <x v="1"/>
    <x v="3"/>
    <x v="1"/>
    <x v="1"/>
    <n v="249.26"/>
    <n v="11"/>
    <n v="2741.86"/>
  </r>
  <r>
    <s v="S534"/>
    <x v="286"/>
    <x v="0"/>
    <x v="5"/>
    <x v="4"/>
    <x v="0"/>
    <x v="2"/>
    <n v="152.19"/>
    <n v="12"/>
    <n v="1826.28"/>
  </r>
  <r>
    <s v="S535"/>
    <x v="99"/>
    <x v="4"/>
    <x v="4"/>
    <x v="0"/>
    <x v="3"/>
    <x v="1"/>
    <n v="199.18"/>
    <n v="16"/>
    <n v="3186.88"/>
  </r>
  <r>
    <s v="S536"/>
    <x v="9"/>
    <x v="2"/>
    <x v="3"/>
    <x v="0"/>
    <x v="2"/>
    <x v="0"/>
    <n v="237.85"/>
    <n v="5"/>
    <n v="1189.25"/>
  </r>
  <r>
    <s v="S537"/>
    <x v="152"/>
    <x v="1"/>
    <x v="3"/>
    <x v="5"/>
    <x v="1"/>
    <x v="0"/>
    <n v="216.92"/>
    <n v="4"/>
    <n v="867.68"/>
  </r>
  <r>
    <s v="S538"/>
    <x v="89"/>
    <x v="0"/>
    <x v="3"/>
    <x v="2"/>
    <x v="2"/>
    <x v="0"/>
    <n v="84.42"/>
    <n v="15"/>
    <n v="1266.3"/>
  </r>
  <r>
    <s v="S539"/>
    <x v="265"/>
    <x v="3"/>
    <x v="4"/>
    <x v="5"/>
    <x v="2"/>
    <x v="2"/>
    <n v="129.12"/>
    <n v="10"/>
    <n v="1291.2"/>
  </r>
  <r>
    <s v="S540"/>
    <x v="56"/>
    <x v="4"/>
    <x v="0"/>
    <x v="3"/>
    <x v="0"/>
    <x v="0"/>
    <n v="58.42"/>
    <n v="3"/>
    <n v="175.26"/>
  </r>
  <r>
    <s v="S541"/>
    <x v="159"/>
    <x v="1"/>
    <x v="0"/>
    <x v="2"/>
    <x v="6"/>
    <x v="1"/>
    <n v="239.89"/>
    <n v="10"/>
    <n v="2398.9"/>
  </r>
  <r>
    <s v="S542"/>
    <x v="161"/>
    <x v="0"/>
    <x v="2"/>
    <x v="4"/>
    <x v="1"/>
    <x v="0"/>
    <n v="163.36000000000001"/>
    <n v="4"/>
    <n v="653.44000000000005"/>
  </r>
  <r>
    <s v="S543"/>
    <x v="97"/>
    <x v="2"/>
    <x v="0"/>
    <x v="4"/>
    <x v="1"/>
    <x v="0"/>
    <n v="80.3"/>
    <n v="8"/>
    <n v="642.4"/>
  </r>
  <r>
    <s v="S544"/>
    <x v="82"/>
    <x v="0"/>
    <x v="3"/>
    <x v="3"/>
    <x v="0"/>
    <x v="2"/>
    <n v="177.77"/>
    <n v="11"/>
    <n v="1955.47"/>
  </r>
  <r>
    <s v="S545"/>
    <x v="287"/>
    <x v="5"/>
    <x v="1"/>
    <x v="3"/>
    <x v="4"/>
    <x v="0"/>
    <n v="165.99"/>
    <n v="8"/>
    <n v="1327.92"/>
  </r>
  <r>
    <s v="S546"/>
    <x v="6"/>
    <x v="4"/>
    <x v="4"/>
    <x v="2"/>
    <x v="6"/>
    <x v="0"/>
    <n v="108.8"/>
    <n v="11"/>
    <n v="1196.8"/>
  </r>
  <r>
    <s v="S547"/>
    <x v="174"/>
    <x v="0"/>
    <x v="5"/>
    <x v="1"/>
    <x v="1"/>
    <x v="1"/>
    <n v="54.98"/>
    <n v="5"/>
    <n v="274.89999999999998"/>
  </r>
  <r>
    <s v="S548"/>
    <x v="265"/>
    <x v="5"/>
    <x v="4"/>
    <x v="3"/>
    <x v="0"/>
    <x v="1"/>
    <n v="177.75"/>
    <n v="6"/>
    <n v="1066.5"/>
  </r>
  <r>
    <s v="S549"/>
    <x v="243"/>
    <x v="2"/>
    <x v="0"/>
    <x v="4"/>
    <x v="4"/>
    <x v="0"/>
    <n v="144.47"/>
    <n v="14"/>
    <n v="2022.58"/>
  </r>
  <r>
    <s v="S550"/>
    <x v="288"/>
    <x v="3"/>
    <x v="1"/>
    <x v="1"/>
    <x v="2"/>
    <x v="2"/>
    <n v="199.91"/>
    <n v="4"/>
    <n v="799.64"/>
  </r>
  <r>
    <s v="S551"/>
    <x v="101"/>
    <x v="4"/>
    <x v="2"/>
    <x v="2"/>
    <x v="3"/>
    <x v="1"/>
    <n v="144.44"/>
    <n v="14"/>
    <n v="2022.16"/>
  </r>
  <r>
    <s v="S552"/>
    <x v="275"/>
    <x v="2"/>
    <x v="5"/>
    <x v="1"/>
    <x v="2"/>
    <x v="1"/>
    <n v="217.48"/>
    <n v="8"/>
    <n v="1739.84"/>
  </r>
  <r>
    <s v="S553"/>
    <x v="289"/>
    <x v="1"/>
    <x v="4"/>
    <x v="2"/>
    <x v="5"/>
    <x v="1"/>
    <n v="151.41999999999999"/>
    <n v="1"/>
    <n v="151.41999999999999"/>
  </r>
  <r>
    <s v="S554"/>
    <x v="290"/>
    <x v="1"/>
    <x v="3"/>
    <x v="0"/>
    <x v="2"/>
    <x v="0"/>
    <n v="153.41"/>
    <n v="7"/>
    <n v="1073.8699999999999"/>
  </r>
  <r>
    <s v="S555"/>
    <x v="219"/>
    <x v="5"/>
    <x v="1"/>
    <x v="2"/>
    <x v="6"/>
    <x v="1"/>
    <n v="222.86"/>
    <n v="16"/>
    <n v="3565.76"/>
  </r>
  <r>
    <s v="S556"/>
    <x v="133"/>
    <x v="2"/>
    <x v="1"/>
    <x v="0"/>
    <x v="3"/>
    <x v="0"/>
    <n v="118.77"/>
    <n v="3"/>
    <n v="356.31"/>
  </r>
  <r>
    <s v="S557"/>
    <x v="205"/>
    <x v="5"/>
    <x v="4"/>
    <x v="1"/>
    <x v="2"/>
    <x v="0"/>
    <n v="59.48"/>
    <n v="19"/>
    <n v="1130.1199999999999"/>
  </r>
  <r>
    <s v="S558"/>
    <x v="145"/>
    <x v="0"/>
    <x v="5"/>
    <x v="5"/>
    <x v="1"/>
    <x v="2"/>
    <n v="36.33"/>
    <n v="3"/>
    <n v="108.99"/>
  </r>
  <r>
    <s v="S559"/>
    <x v="235"/>
    <x v="0"/>
    <x v="3"/>
    <x v="1"/>
    <x v="3"/>
    <x v="1"/>
    <n v="196.13"/>
    <n v="2"/>
    <n v="392.26"/>
  </r>
  <r>
    <s v="S560"/>
    <x v="229"/>
    <x v="5"/>
    <x v="3"/>
    <x v="3"/>
    <x v="6"/>
    <x v="0"/>
    <n v="166.47"/>
    <n v="17"/>
    <n v="2829.99"/>
  </r>
  <r>
    <s v="S561"/>
    <x v="0"/>
    <x v="2"/>
    <x v="5"/>
    <x v="2"/>
    <x v="3"/>
    <x v="0"/>
    <n v="184.9"/>
    <n v="18"/>
    <n v="3328.2"/>
  </r>
  <r>
    <s v="S562"/>
    <x v="73"/>
    <x v="2"/>
    <x v="2"/>
    <x v="2"/>
    <x v="5"/>
    <x v="2"/>
    <n v="76.849999999999994"/>
    <n v="3"/>
    <n v="230.55"/>
  </r>
  <r>
    <s v="S563"/>
    <x v="291"/>
    <x v="1"/>
    <x v="0"/>
    <x v="3"/>
    <x v="2"/>
    <x v="0"/>
    <n v="60"/>
    <n v="19"/>
    <n v="1140"/>
  </r>
  <r>
    <s v="S564"/>
    <x v="73"/>
    <x v="1"/>
    <x v="2"/>
    <x v="5"/>
    <x v="0"/>
    <x v="0"/>
    <n v="33.200000000000003"/>
    <n v="14"/>
    <n v="464.8"/>
  </r>
  <r>
    <s v="S565"/>
    <x v="292"/>
    <x v="5"/>
    <x v="5"/>
    <x v="1"/>
    <x v="1"/>
    <x v="2"/>
    <n v="107.13"/>
    <n v="4"/>
    <n v="428.52"/>
  </r>
  <r>
    <s v="S566"/>
    <x v="192"/>
    <x v="0"/>
    <x v="1"/>
    <x v="3"/>
    <x v="0"/>
    <x v="1"/>
    <n v="159.78"/>
    <n v="6"/>
    <n v="958.68"/>
  </r>
  <r>
    <s v="S567"/>
    <x v="114"/>
    <x v="5"/>
    <x v="4"/>
    <x v="1"/>
    <x v="5"/>
    <x v="1"/>
    <n v="116.29"/>
    <n v="6"/>
    <n v="697.74"/>
  </r>
  <r>
    <s v="S568"/>
    <x v="113"/>
    <x v="4"/>
    <x v="2"/>
    <x v="3"/>
    <x v="4"/>
    <x v="2"/>
    <n v="126.24"/>
    <n v="6"/>
    <n v="757.44"/>
  </r>
  <r>
    <s v="S569"/>
    <x v="293"/>
    <x v="4"/>
    <x v="3"/>
    <x v="0"/>
    <x v="5"/>
    <x v="0"/>
    <n v="228.91"/>
    <n v="1"/>
    <n v="228.91"/>
  </r>
  <r>
    <s v="S570"/>
    <x v="17"/>
    <x v="1"/>
    <x v="1"/>
    <x v="4"/>
    <x v="6"/>
    <x v="1"/>
    <n v="106.62"/>
    <n v="19"/>
    <n v="2025.78"/>
  </r>
  <r>
    <s v="S571"/>
    <x v="280"/>
    <x v="5"/>
    <x v="5"/>
    <x v="2"/>
    <x v="3"/>
    <x v="0"/>
    <n v="143.08000000000001"/>
    <n v="2"/>
    <n v="286.16000000000003"/>
  </r>
  <r>
    <s v="S572"/>
    <x v="156"/>
    <x v="2"/>
    <x v="0"/>
    <x v="3"/>
    <x v="1"/>
    <x v="0"/>
    <n v="202.4"/>
    <n v="4"/>
    <n v="809.6"/>
  </r>
  <r>
    <s v="S573"/>
    <x v="290"/>
    <x v="0"/>
    <x v="1"/>
    <x v="2"/>
    <x v="1"/>
    <x v="2"/>
    <n v="117.24"/>
    <n v="1"/>
    <n v="117.24"/>
  </r>
  <r>
    <s v="S574"/>
    <x v="213"/>
    <x v="3"/>
    <x v="2"/>
    <x v="5"/>
    <x v="5"/>
    <x v="1"/>
    <n v="166.86"/>
    <n v="13"/>
    <n v="2169.1799999999998"/>
  </r>
  <r>
    <s v="S575"/>
    <x v="208"/>
    <x v="3"/>
    <x v="4"/>
    <x v="2"/>
    <x v="6"/>
    <x v="1"/>
    <n v="219.72"/>
    <n v="14"/>
    <n v="3076.08"/>
  </r>
  <r>
    <s v="S576"/>
    <x v="90"/>
    <x v="0"/>
    <x v="5"/>
    <x v="0"/>
    <x v="1"/>
    <x v="1"/>
    <n v="238.89"/>
    <n v="9"/>
    <n v="2150.0100000000002"/>
  </r>
  <r>
    <s v="S577"/>
    <x v="264"/>
    <x v="3"/>
    <x v="2"/>
    <x v="1"/>
    <x v="1"/>
    <x v="2"/>
    <n v="62.36"/>
    <n v="2"/>
    <n v="124.72"/>
  </r>
  <r>
    <s v="S578"/>
    <x v="51"/>
    <x v="4"/>
    <x v="4"/>
    <x v="0"/>
    <x v="1"/>
    <x v="1"/>
    <n v="233.85"/>
    <n v="15"/>
    <n v="3507.75"/>
  </r>
  <r>
    <s v="S579"/>
    <x v="85"/>
    <x v="4"/>
    <x v="2"/>
    <x v="0"/>
    <x v="5"/>
    <x v="2"/>
    <n v="138.27000000000001"/>
    <n v="1"/>
    <n v="138.27000000000001"/>
  </r>
  <r>
    <s v="S580"/>
    <x v="294"/>
    <x v="5"/>
    <x v="4"/>
    <x v="1"/>
    <x v="6"/>
    <x v="0"/>
    <n v="86.81"/>
    <n v="8"/>
    <n v="694.48"/>
  </r>
  <r>
    <s v="S581"/>
    <x v="4"/>
    <x v="3"/>
    <x v="1"/>
    <x v="4"/>
    <x v="1"/>
    <x v="0"/>
    <n v="131.01"/>
    <n v="8"/>
    <n v="1048.08"/>
  </r>
  <r>
    <s v="S582"/>
    <x v="44"/>
    <x v="1"/>
    <x v="0"/>
    <x v="5"/>
    <x v="3"/>
    <x v="0"/>
    <n v="245.61"/>
    <n v="12"/>
    <n v="2947.32"/>
  </r>
  <r>
    <s v="S583"/>
    <x v="139"/>
    <x v="1"/>
    <x v="0"/>
    <x v="0"/>
    <x v="1"/>
    <x v="0"/>
    <n v="138.38"/>
    <n v="13"/>
    <n v="1798.94"/>
  </r>
  <r>
    <s v="S584"/>
    <x v="189"/>
    <x v="5"/>
    <x v="3"/>
    <x v="5"/>
    <x v="0"/>
    <x v="1"/>
    <n v="102.33"/>
    <n v="8"/>
    <n v="818.64"/>
  </r>
  <r>
    <s v="S585"/>
    <x v="270"/>
    <x v="0"/>
    <x v="2"/>
    <x v="1"/>
    <x v="6"/>
    <x v="1"/>
    <n v="169.35"/>
    <n v="3"/>
    <n v="508.05"/>
  </r>
  <r>
    <s v="S586"/>
    <x v="295"/>
    <x v="1"/>
    <x v="1"/>
    <x v="1"/>
    <x v="1"/>
    <x v="1"/>
    <n v="82.83"/>
    <n v="15"/>
    <n v="1242.45"/>
  </r>
  <r>
    <s v="S587"/>
    <x v="296"/>
    <x v="0"/>
    <x v="5"/>
    <x v="1"/>
    <x v="1"/>
    <x v="2"/>
    <n v="46.69"/>
    <n v="13"/>
    <n v="606.97"/>
  </r>
  <r>
    <s v="S588"/>
    <x v="297"/>
    <x v="3"/>
    <x v="4"/>
    <x v="0"/>
    <x v="4"/>
    <x v="2"/>
    <n v="58.35"/>
    <n v="5"/>
    <n v="291.75"/>
  </r>
  <r>
    <s v="S589"/>
    <x v="285"/>
    <x v="4"/>
    <x v="3"/>
    <x v="0"/>
    <x v="0"/>
    <x v="0"/>
    <n v="58.17"/>
    <n v="11"/>
    <n v="639.87"/>
  </r>
  <r>
    <s v="S590"/>
    <x v="298"/>
    <x v="2"/>
    <x v="1"/>
    <x v="2"/>
    <x v="1"/>
    <x v="0"/>
    <n v="63.42"/>
    <n v="5"/>
    <n v="317.10000000000002"/>
  </r>
  <r>
    <s v="S591"/>
    <x v="230"/>
    <x v="4"/>
    <x v="3"/>
    <x v="5"/>
    <x v="5"/>
    <x v="2"/>
    <n v="60.54"/>
    <n v="15"/>
    <n v="908.1"/>
  </r>
  <r>
    <s v="S592"/>
    <x v="299"/>
    <x v="4"/>
    <x v="3"/>
    <x v="0"/>
    <x v="4"/>
    <x v="0"/>
    <n v="170.99"/>
    <n v="15"/>
    <n v="2564.85"/>
  </r>
  <r>
    <s v="S593"/>
    <x v="161"/>
    <x v="1"/>
    <x v="4"/>
    <x v="3"/>
    <x v="2"/>
    <x v="1"/>
    <n v="70.010000000000005"/>
    <n v="6"/>
    <n v="420.06"/>
  </r>
  <r>
    <s v="S594"/>
    <x v="300"/>
    <x v="4"/>
    <x v="2"/>
    <x v="5"/>
    <x v="2"/>
    <x v="0"/>
    <n v="106.05"/>
    <n v="7"/>
    <n v="742.35"/>
  </r>
  <r>
    <s v="S595"/>
    <x v="273"/>
    <x v="2"/>
    <x v="1"/>
    <x v="3"/>
    <x v="3"/>
    <x v="2"/>
    <n v="227.29"/>
    <n v="13"/>
    <n v="2954.77"/>
  </r>
  <r>
    <s v="S596"/>
    <x v="75"/>
    <x v="5"/>
    <x v="3"/>
    <x v="1"/>
    <x v="2"/>
    <x v="1"/>
    <n v="134.27000000000001"/>
    <n v="1"/>
    <n v="134.27000000000001"/>
  </r>
  <r>
    <s v="S597"/>
    <x v="37"/>
    <x v="5"/>
    <x v="1"/>
    <x v="2"/>
    <x v="1"/>
    <x v="0"/>
    <n v="176.86"/>
    <n v="4"/>
    <n v="707.44"/>
  </r>
  <r>
    <s v="S598"/>
    <x v="202"/>
    <x v="3"/>
    <x v="2"/>
    <x v="4"/>
    <x v="3"/>
    <x v="1"/>
    <n v="67.91"/>
    <n v="8"/>
    <n v="543.28"/>
  </r>
  <r>
    <s v="S599"/>
    <x v="301"/>
    <x v="2"/>
    <x v="5"/>
    <x v="0"/>
    <x v="4"/>
    <x v="0"/>
    <n v="72.3"/>
    <n v="3"/>
    <n v="216.9"/>
  </r>
  <r>
    <s v="S600"/>
    <x v="302"/>
    <x v="3"/>
    <x v="0"/>
    <x v="4"/>
    <x v="4"/>
    <x v="0"/>
    <n v="38.99"/>
    <n v="3"/>
    <n v="116.97"/>
  </r>
  <r>
    <s v="S601"/>
    <x v="143"/>
    <x v="0"/>
    <x v="1"/>
    <x v="4"/>
    <x v="1"/>
    <x v="0"/>
    <n v="67.17"/>
    <n v="11"/>
    <n v="738.87"/>
  </r>
  <r>
    <s v="S602"/>
    <x v="125"/>
    <x v="1"/>
    <x v="3"/>
    <x v="4"/>
    <x v="1"/>
    <x v="2"/>
    <n v="91.29"/>
    <n v="14"/>
    <n v="1278.06"/>
  </r>
  <r>
    <s v="S603"/>
    <x v="278"/>
    <x v="3"/>
    <x v="4"/>
    <x v="2"/>
    <x v="0"/>
    <x v="2"/>
    <n v="68.94"/>
    <n v="14"/>
    <n v="965.16"/>
  </r>
  <r>
    <s v="S604"/>
    <x v="270"/>
    <x v="3"/>
    <x v="1"/>
    <x v="1"/>
    <x v="5"/>
    <x v="1"/>
    <n v="49.51"/>
    <n v="15"/>
    <n v="742.65"/>
  </r>
  <r>
    <s v="S605"/>
    <x v="13"/>
    <x v="5"/>
    <x v="3"/>
    <x v="1"/>
    <x v="6"/>
    <x v="0"/>
    <n v="56.54"/>
    <n v="10"/>
    <n v="565.4"/>
  </r>
  <r>
    <s v="S606"/>
    <x v="288"/>
    <x v="5"/>
    <x v="2"/>
    <x v="4"/>
    <x v="0"/>
    <x v="1"/>
    <n v="131.37"/>
    <n v="9"/>
    <n v="1182.33"/>
  </r>
  <r>
    <s v="S607"/>
    <x v="255"/>
    <x v="1"/>
    <x v="5"/>
    <x v="5"/>
    <x v="6"/>
    <x v="1"/>
    <n v="75.39"/>
    <n v="8"/>
    <n v="603.12"/>
  </r>
  <r>
    <s v="S608"/>
    <x v="61"/>
    <x v="2"/>
    <x v="3"/>
    <x v="0"/>
    <x v="5"/>
    <x v="1"/>
    <n v="110.14"/>
    <n v="16"/>
    <n v="1762.24"/>
  </r>
  <r>
    <s v="S609"/>
    <x v="77"/>
    <x v="4"/>
    <x v="2"/>
    <x v="5"/>
    <x v="3"/>
    <x v="1"/>
    <n v="140.75"/>
    <n v="13"/>
    <n v="1829.75"/>
  </r>
  <r>
    <s v="S610"/>
    <x v="32"/>
    <x v="4"/>
    <x v="1"/>
    <x v="4"/>
    <x v="5"/>
    <x v="2"/>
    <n v="181.89"/>
    <n v="1"/>
    <n v="181.89"/>
  </r>
  <r>
    <s v="S611"/>
    <x v="303"/>
    <x v="3"/>
    <x v="1"/>
    <x v="2"/>
    <x v="2"/>
    <x v="0"/>
    <n v="38.65"/>
    <n v="8"/>
    <n v="309.2"/>
  </r>
  <r>
    <s v="S612"/>
    <x v="12"/>
    <x v="1"/>
    <x v="1"/>
    <x v="2"/>
    <x v="5"/>
    <x v="2"/>
    <n v="205.87"/>
    <n v="18"/>
    <n v="3705.66"/>
  </r>
  <r>
    <s v="S613"/>
    <x v="304"/>
    <x v="3"/>
    <x v="2"/>
    <x v="1"/>
    <x v="3"/>
    <x v="1"/>
    <n v="168.14"/>
    <n v="6"/>
    <n v="1008.84"/>
  </r>
  <r>
    <s v="S614"/>
    <x v="124"/>
    <x v="2"/>
    <x v="1"/>
    <x v="3"/>
    <x v="2"/>
    <x v="2"/>
    <n v="47.99"/>
    <n v="12"/>
    <n v="575.88"/>
  </r>
  <r>
    <s v="S615"/>
    <x v="305"/>
    <x v="3"/>
    <x v="5"/>
    <x v="2"/>
    <x v="4"/>
    <x v="2"/>
    <n v="222.19"/>
    <n v="19"/>
    <n v="4221.6099999999997"/>
  </r>
  <r>
    <s v="S616"/>
    <x v="44"/>
    <x v="3"/>
    <x v="3"/>
    <x v="5"/>
    <x v="1"/>
    <x v="0"/>
    <n v="232.59"/>
    <n v="10"/>
    <n v="2325.9"/>
  </r>
  <r>
    <s v="S617"/>
    <x v="167"/>
    <x v="3"/>
    <x v="1"/>
    <x v="1"/>
    <x v="6"/>
    <x v="0"/>
    <n v="43.44"/>
    <n v="20"/>
    <n v="868.8"/>
  </r>
  <r>
    <s v="S618"/>
    <x v="92"/>
    <x v="3"/>
    <x v="2"/>
    <x v="0"/>
    <x v="2"/>
    <x v="0"/>
    <n v="90.91"/>
    <n v="20"/>
    <n v="1818.2"/>
  </r>
  <r>
    <s v="S619"/>
    <x v="198"/>
    <x v="0"/>
    <x v="2"/>
    <x v="1"/>
    <x v="2"/>
    <x v="0"/>
    <n v="207.36"/>
    <n v="2"/>
    <n v="414.72"/>
  </r>
  <r>
    <s v="S620"/>
    <x v="191"/>
    <x v="4"/>
    <x v="1"/>
    <x v="0"/>
    <x v="2"/>
    <x v="1"/>
    <n v="194.62"/>
    <n v="17"/>
    <n v="3308.54"/>
  </r>
  <r>
    <s v="S621"/>
    <x v="159"/>
    <x v="0"/>
    <x v="4"/>
    <x v="0"/>
    <x v="3"/>
    <x v="0"/>
    <n v="70.59"/>
    <n v="19"/>
    <n v="1341.21"/>
  </r>
  <r>
    <s v="S622"/>
    <x v="129"/>
    <x v="1"/>
    <x v="3"/>
    <x v="3"/>
    <x v="3"/>
    <x v="0"/>
    <n v="76.06"/>
    <n v="14"/>
    <n v="1064.8399999999999"/>
  </r>
  <r>
    <s v="S623"/>
    <x v="109"/>
    <x v="1"/>
    <x v="5"/>
    <x v="0"/>
    <x v="0"/>
    <x v="1"/>
    <n v="111.5"/>
    <n v="18"/>
    <n v="2007"/>
  </r>
  <r>
    <s v="S624"/>
    <x v="121"/>
    <x v="5"/>
    <x v="4"/>
    <x v="3"/>
    <x v="2"/>
    <x v="2"/>
    <n v="136.6"/>
    <n v="6"/>
    <n v="819.6"/>
  </r>
  <r>
    <s v="S625"/>
    <x v="74"/>
    <x v="1"/>
    <x v="1"/>
    <x v="3"/>
    <x v="5"/>
    <x v="2"/>
    <n v="166.02"/>
    <n v="6"/>
    <n v="996.12"/>
  </r>
  <r>
    <s v="S626"/>
    <x v="305"/>
    <x v="3"/>
    <x v="5"/>
    <x v="0"/>
    <x v="4"/>
    <x v="1"/>
    <n v="111.16"/>
    <n v="2"/>
    <n v="222.32"/>
  </r>
  <r>
    <s v="S627"/>
    <x v="168"/>
    <x v="0"/>
    <x v="3"/>
    <x v="2"/>
    <x v="3"/>
    <x v="1"/>
    <n v="131.76"/>
    <n v="19"/>
    <n v="2503.44"/>
  </r>
  <r>
    <s v="S628"/>
    <x v="195"/>
    <x v="4"/>
    <x v="4"/>
    <x v="2"/>
    <x v="2"/>
    <x v="0"/>
    <n v="194.44"/>
    <n v="8"/>
    <n v="1555.52"/>
  </r>
  <r>
    <s v="S629"/>
    <x v="109"/>
    <x v="5"/>
    <x v="1"/>
    <x v="0"/>
    <x v="0"/>
    <x v="0"/>
    <n v="38.07"/>
    <n v="11"/>
    <n v="418.77"/>
  </r>
  <r>
    <s v="S630"/>
    <x v="117"/>
    <x v="4"/>
    <x v="4"/>
    <x v="5"/>
    <x v="2"/>
    <x v="0"/>
    <n v="85.54"/>
    <n v="3"/>
    <n v="256.62"/>
  </r>
  <r>
    <s v="S631"/>
    <x v="222"/>
    <x v="5"/>
    <x v="0"/>
    <x v="4"/>
    <x v="0"/>
    <x v="2"/>
    <n v="186.94"/>
    <n v="13"/>
    <n v="2430.2199999999998"/>
  </r>
  <r>
    <s v="S632"/>
    <x v="249"/>
    <x v="4"/>
    <x v="5"/>
    <x v="4"/>
    <x v="1"/>
    <x v="2"/>
    <n v="226.95"/>
    <n v="13"/>
    <n v="2950.35"/>
  </r>
  <r>
    <s v="S633"/>
    <x v="9"/>
    <x v="3"/>
    <x v="3"/>
    <x v="5"/>
    <x v="4"/>
    <x v="0"/>
    <n v="142.57"/>
    <n v="8"/>
    <n v="1140.56"/>
  </r>
  <r>
    <s v="S634"/>
    <x v="306"/>
    <x v="4"/>
    <x v="4"/>
    <x v="5"/>
    <x v="1"/>
    <x v="2"/>
    <n v="147.06"/>
    <n v="1"/>
    <n v="147.06"/>
  </r>
  <r>
    <s v="S635"/>
    <x v="154"/>
    <x v="3"/>
    <x v="0"/>
    <x v="5"/>
    <x v="5"/>
    <x v="0"/>
    <n v="53.58"/>
    <n v="13"/>
    <n v="696.54"/>
  </r>
  <r>
    <s v="S636"/>
    <x v="150"/>
    <x v="2"/>
    <x v="3"/>
    <x v="3"/>
    <x v="1"/>
    <x v="2"/>
    <n v="128.43"/>
    <n v="20"/>
    <n v="2568.6"/>
  </r>
  <r>
    <s v="S637"/>
    <x v="307"/>
    <x v="2"/>
    <x v="3"/>
    <x v="2"/>
    <x v="1"/>
    <x v="0"/>
    <n v="147.18"/>
    <n v="6"/>
    <n v="883.08"/>
  </r>
  <r>
    <s v="S638"/>
    <x v="92"/>
    <x v="3"/>
    <x v="3"/>
    <x v="3"/>
    <x v="5"/>
    <x v="1"/>
    <n v="83.34"/>
    <n v="7"/>
    <n v="583.38"/>
  </r>
  <r>
    <s v="S639"/>
    <x v="24"/>
    <x v="1"/>
    <x v="4"/>
    <x v="0"/>
    <x v="0"/>
    <x v="0"/>
    <n v="89.23"/>
    <n v="9"/>
    <n v="803.07"/>
  </r>
  <r>
    <s v="S640"/>
    <x v="160"/>
    <x v="2"/>
    <x v="5"/>
    <x v="4"/>
    <x v="0"/>
    <x v="0"/>
    <n v="113"/>
    <n v="13"/>
    <n v="1469"/>
  </r>
  <r>
    <s v="S641"/>
    <x v="280"/>
    <x v="5"/>
    <x v="1"/>
    <x v="0"/>
    <x v="4"/>
    <x v="1"/>
    <n v="34.42"/>
    <n v="1"/>
    <n v="34.42"/>
  </r>
  <r>
    <s v="S642"/>
    <x v="262"/>
    <x v="5"/>
    <x v="2"/>
    <x v="5"/>
    <x v="1"/>
    <x v="0"/>
    <n v="100.86"/>
    <n v="20"/>
    <n v="2017.2"/>
  </r>
  <r>
    <s v="S643"/>
    <x v="154"/>
    <x v="0"/>
    <x v="3"/>
    <x v="5"/>
    <x v="3"/>
    <x v="2"/>
    <n v="76.52"/>
    <n v="10"/>
    <n v="765.2"/>
  </r>
  <r>
    <s v="S644"/>
    <x v="145"/>
    <x v="1"/>
    <x v="4"/>
    <x v="5"/>
    <x v="2"/>
    <x v="1"/>
    <n v="102.05"/>
    <n v="16"/>
    <n v="1632.8"/>
  </r>
  <r>
    <s v="S645"/>
    <x v="205"/>
    <x v="4"/>
    <x v="3"/>
    <x v="0"/>
    <x v="0"/>
    <x v="2"/>
    <n v="56.35"/>
    <n v="6"/>
    <n v="338.1"/>
  </r>
  <r>
    <s v="S646"/>
    <x v="57"/>
    <x v="5"/>
    <x v="3"/>
    <x v="0"/>
    <x v="0"/>
    <x v="2"/>
    <n v="225.92"/>
    <n v="9"/>
    <n v="2033.28"/>
  </r>
  <r>
    <s v="S647"/>
    <x v="127"/>
    <x v="3"/>
    <x v="0"/>
    <x v="3"/>
    <x v="1"/>
    <x v="0"/>
    <n v="160.59"/>
    <n v="2"/>
    <n v="321.18"/>
  </r>
  <r>
    <s v="S648"/>
    <x v="34"/>
    <x v="2"/>
    <x v="3"/>
    <x v="1"/>
    <x v="0"/>
    <x v="1"/>
    <n v="179.4"/>
    <n v="12"/>
    <n v="2152.8000000000002"/>
  </r>
  <r>
    <s v="S649"/>
    <x v="202"/>
    <x v="2"/>
    <x v="3"/>
    <x v="1"/>
    <x v="2"/>
    <x v="2"/>
    <n v="203.62"/>
    <n v="13"/>
    <n v="2647.06"/>
  </r>
  <r>
    <s v="S650"/>
    <x v="125"/>
    <x v="5"/>
    <x v="4"/>
    <x v="5"/>
    <x v="6"/>
    <x v="1"/>
    <n v="139.66"/>
    <n v="8"/>
    <n v="1117.28"/>
  </r>
  <r>
    <s v="S651"/>
    <x v="308"/>
    <x v="2"/>
    <x v="5"/>
    <x v="1"/>
    <x v="2"/>
    <x v="1"/>
    <n v="49.12"/>
    <n v="17"/>
    <n v="835.04"/>
  </r>
  <r>
    <s v="S652"/>
    <x v="60"/>
    <x v="5"/>
    <x v="2"/>
    <x v="2"/>
    <x v="0"/>
    <x v="0"/>
    <n v="148.16"/>
    <n v="4"/>
    <n v="592.64"/>
  </r>
  <r>
    <s v="S653"/>
    <x v="27"/>
    <x v="5"/>
    <x v="1"/>
    <x v="3"/>
    <x v="6"/>
    <x v="0"/>
    <n v="159.11000000000001"/>
    <n v="2"/>
    <n v="318.22000000000003"/>
  </r>
  <r>
    <s v="S654"/>
    <x v="309"/>
    <x v="2"/>
    <x v="4"/>
    <x v="0"/>
    <x v="2"/>
    <x v="0"/>
    <n v="194"/>
    <n v="5"/>
    <n v="970"/>
  </r>
  <r>
    <s v="S655"/>
    <x v="288"/>
    <x v="2"/>
    <x v="3"/>
    <x v="1"/>
    <x v="3"/>
    <x v="2"/>
    <n v="124.97"/>
    <n v="13"/>
    <n v="1624.61"/>
  </r>
  <r>
    <s v="S656"/>
    <x v="282"/>
    <x v="0"/>
    <x v="0"/>
    <x v="1"/>
    <x v="5"/>
    <x v="1"/>
    <n v="58.07"/>
    <n v="15"/>
    <n v="871.05"/>
  </r>
  <r>
    <s v="S657"/>
    <x v="233"/>
    <x v="5"/>
    <x v="2"/>
    <x v="2"/>
    <x v="5"/>
    <x v="1"/>
    <n v="92.43"/>
    <n v="4"/>
    <n v="369.72"/>
  </r>
  <r>
    <s v="S658"/>
    <x v="241"/>
    <x v="0"/>
    <x v="5"/>
    <x v="5"/>
    <x v="4"/>
    <x v="2"/>
    <n v="109.88"/>
    <n v="4"/>
    <n v="439.52"/>
  </r>
  <r>
    <s v="S659"/>
    <x v="166"/>
    <x v="5"/>
    <x v="4"/>
    <x v="4"/>
    <x v="2"/>
    <x v="2"/>
    <n v="172.1"/>
    <n v="12"/>
    <n v="2065.1999999999998"/>
  </r>
  <r>
    <s v="S660"/>
    <x v="201"/>
    <x v="5"/>
    <x v="1"/>
    <x v="2"/>
    <x v="3"/>
    <x v="2"/>
    <n v="155.57"/>
    <n v="20"/>
    <n v="3111.4"/>
  </r>
  <r>
    <s v="S661"/>
    <x v="16"/>
    <x v="2"/>
    <x v="0"/>
    <x v="3"/>
    <x v="6"/>
    <x v="0"/>
    <n v="108.34"/>
    <n v="20"/>
    <n v="2166.8000000000002"/>
  </r>
  <r>
    <s v="S662"/>
    <x v="159"/>
    <x v="1"/>
    <x v="2"/>
    <x v="5"/>
    <x v="2"/>
    <x v="2"/>
    <n v="247.03"/>
    <n v="11"/>
    <n v="2717.33"/>
  </r>
  <r>
    <s v="S663"/>
    <x v="310"/>
    <x v="0"/>
    <x v="4"/>
    <x v="0"/>
    <x v="3"/>
    <x v="2"/>
    <n v="163.27000000000001"/>
    <n v="12"/>
    <n v="1959.24"/>
  </r>
  <r>
    <s v="S664"/>
    <x v="116"/>
    <x v="3"/>
    <x v="2"/>
    <x v="0"/>
    <x v="2"/>
    <x v="2"/>
    <n v="82.19"/>
    <n v="4"/>
    <n v="328.76"/>
  </r>
  <r>
    <s v="S665"/>
    <x v="77"/>
    <x v="1"/>
    <x v="3"/>
    <x v="1"/>
    <x v="2"/>
    <x v="0"/>
    <n v="52.39"/>
    <n v="9"/>
    <n v="471.51"/>
  </r>
  <r>
    <s v="S666"/>
    <x v="311"/>
    <x v="3"/>
    <x v="3"/>
    <x v="3"/>
    <x v="6"/>
    <x v="1"/>
    <n v="63.63"/>
    <n v="15"/>
    <n v="954.45"/>
  </r>
  <r>
    <s v="S667"/>
    <x v="30"/>
    <x v="2"/>
    <x v="2"/>
    <x v="5"/>
    <x v="3"/>
    <x v="1"/>
    <n v="84.11"/>
    <n v="2"/>
    <n v="168.22"/>
  </r>
  <r>
    <s v="S668"/>
    <x v="239"/>
    <x v="3"/>
    <x v="5"/>
    <x v="1"/>
    <x v="1"/>
    <x v="0"/>
    <n v="65.349999999999994"/>
    <n v="13"/>
    <n v="849.55"/>
  </r>
  <r>
    <s v="S669"/>
    <x v="119"/>
    <x v="0"/>
    <x v="2"/>
    <x v="5"/>
    <x v="6"/>
    <x v="0"/>
    <n v="71.040000000000006"/>
    <n v="7"/>
    <n v="497.28"/>
  </r>
  <r>
    <s v="S670"/>
    <x v="280"/>
    <x v="4"/>
    <x v="4"/>
    <x v="4"/>
    <x v="5"/>
    <x v="2"/>
    <n v="92.72"/>
    <n v="7"/>
    <n v="649.04"/>
  </r>
  <r>
    <s v="S671"/>
    <x v="11"/>
    <x v="1"/>
    <x v="1"/>
    <x v="2"/>
    <x v="3"/>
    <x v="2"/>
    <n v="68.14"/>
    <n v="4"/>
    <n v="272.56"/>
  </r>
  <r>
    <s v="S672"/>
    <x v="133"/>
    <x v="3"/>
    <x v="3"/>
    <x v="1"/>
    <x v="5"/>
    <x v="2"/>
    <n v="227.29"/>
    <n v="15"/>
    <n v="3409.35"/>
  </r>
  <r>
    <s v="S673"/>
    <x v="220"/>
    <x v="4"/>
    <x v="0"/>
    <x v="3"/>
    <x v="1"/>
    <x v="2"/>
    <n v="47.65"/>
    <n v="6"/>
    <n v="285.89999999999998"/>
  </r>
  <r>
    <s v="S674"/>
    <x v="112"/>
    <x v="0"/>
    <x v="2"/>
    <x v="1"/>
    <x v="4"/>
    <x v="0"/>
    <n v="145.38999999999999"/>
    <n v="13"/>
    <n v="1890.07"/>
  </r>
  <r>
    <s v="S675"/>
    <x v="168"/>
    <x v="1"/>
    <x v="2"/>
    <x v="0"/>
    <x v="2"/>
    <x v="2"/>
    <n v="120.29"/>
    <n v="8"/>
    <n v="962.32"/>
  </r>
  <r>
    <s v="S676"/>
    <x v="312"/>
    <x v="1"/>
    <x v="1"/>
    <x v="4"/>
    <x v="0"/>
    <x v="1"/>
    <n v="246.12"/>
    <n v="1"/>
    <n v="246.12"/>
  </r>
  <r>
    <s v="S677"/>
    <x v="313"/>
    <x v="0"/>
    <x v="2"/>
    <x v="0"/>
    <x v="5"/>
    <x v="2"/>
    <n v="54.65"/>
    <n v="20"/>
    <n v="1093"/>
  </r>
  <r>
    <s v="S678"/>
    <x v="229"/>
    <x v="5"/>
    <x v="3"/>
    <x v="0"/>
    <x v="6"/>
    <x v="2"/>
    <n v="117.53"/>
    <n v="9"/>
    <n v="1057.77"/>
  </r>
  <r>
    <s v="S679"/>
    <x v="314"/>
    <x v="4"/>
    <x v="0"/>
    <x v="1"/>
    <x v="4"/>
    <x v="1"/>
    <n v="243.28"/>
    <n v="15"/>
    <n v="3649.2"/>
  </r>
  <r>
    <s v="S680"/>
    <x v="165"/>
    <x v="0"/>
    <x v="1"/>
    <x v="1"/>
    <x v="2"/>
    <x v="2"/>
    <n v="220.41"/>
    <n v="19"/>
    <n v="4187.79"/>
  </r>
  <r>
    <s v="S681"/>
    <x v="186"/>
    <x v="2"/>
    <x v="4"/>
    <x v="0"/>
    <x v="2"/>
    <x v="0"/>
    <n v="209.76"/>
    <n v="20"/>
    <n v="4195.2"/>
  </r>
  <r>
    <s v="S682"/>
    <x v="315"/>
    <x v="4"/>
    <x v="4"/>
    <x v="3"/>
    <x v="3"/>
    <x v="2"/>
    <n v="86.74"/>
    <n v="3"/>
    <n v="260.22000000000003"/>
  </r>
  <r>
    <s v="S683"/>
    <x v="316"/>
    <x v="3"/>
    <x v="2"/>
    <x v="1"/>
    <x v="4"/>
    <x v="0"/>
    <n v="67.599999999999994"/>
    <n v="10"/>
    <n v="676"/>
  </r>
  <r>
    <s v="S684"/>
    <x v="317"/>
    <x v="5"/>
    <x v="0"/>
    <x v="0"/>
    <x v="2"/>
    <x v="0"/>
    <n v="177.1"/>
    <n v="20"/>
    <n v="3542"/>
  </r>
  <r>
    <s v="S685"/>
    <x v="318"/>
    <x v="4"/>
    <x v="4"/>
    <x v="4"/>
    <x v="6"/>
    <x v="2"/>
    <n v="234.46"/>
    <n v="16"/>
    <n v="3751.36"/>
  </r>
  <r>
    <s v="S686"/>
    <x v="319"/>
    <x v="1"/>
    <x v="5"/>
    <x v="2"/>
    <x v="3"/>
    <x v="1"/>
    <n v="152.49"/>
    <n v="19"/>
    <n v="2897.31"/>
  </r>
  <r>
    <s v="S687"/>
    <x v="168"/>
    <x v="1"/>
    <x v="3"/>
    <x v="3"/>
    <x v="3"/>
    <x v="1"/>
    <n v="155.75"/>
    <n v="18"/>
    <n v="2803.5"/>
  </r>
  <r>
    <s v="S688"/>
    <x v="157"/>
    <x v="1"/>
    <x v="5"/>
    <x v="2"/>
    <x v="3"/>
    <x v="0"/>
    <n v="91.6"/>
    <n v="6"/>
    <n v="549.6"/>
  </r>
  <r>
    <s v="S689"/>
    <x v="145"/>
    <x v="1"/>
    <x v="4"/>
    <x v="3"/>
    <x v="4"/>
    <x v="1"/>
    <n v="199.29"/>
    <n v="5"/>
    <n v="996.45"/>
  </r>
  <r>
    <s v="S690"/>
    <x v="38"/>
    <x v="1"/>
    <x v="1"/>
    <x v="2"/>
    <x v="3"/>
    <x v="0"/>
    <n v="71.150000000000006"/>
    <n v="11"/>
    <n v="782.65"/>
  </r>
  <r>
    <s v="S691"/>
    <x v="274"/>
    <x v="4"/>
    <x v="4"/>
    <x v="0"/>
    <x v="5"/>
    <x v="2"/>
    <n v="101.21"/>
    <n v="14"/>
    <n v="1416.94"/>
  </r>
  <r>
    <s v="S692"/>
    <x v="320"/>
    <x v="5"/>
    <x v="1"/>
    <x v="3"/>
    <x v="5"/>
    <x v="1"/>
    <n v="123.6"/>
    <n v="4"/>
    <n v="494.4"/>
  </r>
  <r>
    <s v="S693"/>
    <x v="48"/>
    <x v="5"/>
    <x v="2"/>
    <x v="1"/>
    <x v="1"/>
    <x v="1"/>
    <n v="141.66999999999999"/>
    <n v="3"/>
    <n v="425.01"/>
  </r>
  <r>
    <s v="S694"/>
    <x v="20"/>
    <x v="4"/>
    <x v="3"/>
    <x v="5"/>
    <x v="4"/>
    <x v="0"/>
    <n v="83.33"/>
    <n v="17"/>
    <n v="1416.61"/>
  </r>
  <r>
    <s v="S695"/>
    <x v="18"/>
    <x v="4"/>
    <x v="3"/>
    <x v="1"/>
    <x v="6"/>
    <x v="0"/>
    <n v="55.26"/>
    <n v="7"/>
    <n v="386.82"/>
  </r>
  <r>
    <s v="S696"/>
    <x v="15"/>
    <x v="0"/>
    <x v="3"/>
    <x v="0"/>
    <x v="2"/>
    <x v="0"/>
    <n v="164.34"/>
    <n v="6"/>
    <n v="986.04"/>
  </r>
  <r>
    <s v="S697"/>
    <x v="69"/>
    <x v="0"/>
    <x v="3"/>
    <x v="0"/>
    <x v="0"/>
    <x v="0"/>
    <n v="93.5"/>
    <n v="2"/>
    <n v="187"/>
  </r>
  <r>
    <s v="S698"/>
    <x v="9"/>
    <x v="5"/>
    <x v="1"/>
    <x v="2"/>
    <x v="5"/>
    <x v="2"/>
    <n v="157.87"/>
    <n v="6"/>
    <n v="947.22"/>
  </r>
  <r>
    <s v="S699"/>
    <x v="79"/>
    <x v="5"/>
    <x v="3"/>
    <x v="4"/>
    <x v="6"/>
    <x v="0"/>
    <n v="63.96"/>
    <n v="14"/>
    <n v="895.44"/>
  </r>
  <r>
    <s v="S700"/>
    <x v="64"/>
    <x v="3"/>
    <x v="0"/>
    <x v="0"/>
    <x v="1"/>
    <x v="2"/>
    <n v="135.85"/>
    <n v="18"/>
    <n v="2445.3000000000002"/>
  </r>
  <r>
    <s v="S701"/>
    <x v="189"/>
    <x v="0"/>
    <x v="0"/>
    <x v="5"/>
    <x v="2"/>
    <x v="1"/>
    <n v="147.16999999999999"/>
    <n v="7"/>
    <n v="1030.19"/>
  </r>
  <r>
    <s v="S702"/>
    <x v="37"/>
    <x v="1"/>
    <x v="4"/>
    <x v="0"/>
    <x v="0"/>
    <x v="0"/>
    <n v="41.4"/>
    <n v="8"/>
    <n v="331.2"/>
  </r>
  <r>
    <s v="S703"/>
    <x v="200"/>
    <x v="2"/>
    <x v="4"/>
    <x v="2"/>
    <x v="1"/>
    <x v="0"/>
    <n v="104.05"/>
    <n v="17"/>
    <n v="1768.85"/>
  </r>
  <r>
    <s v="S704"/>
    <x v="23"/>
    <x v="5"/>
    <x v="0"/>
    <x v="1"/>
    <x v="5"/>
    <x v="1"/>
    <n v="59.57"/>
    <n v="10"/>
    <n v="595.70000000000005"/>
  </r>
  <r>
    <s v="S705"/>
    <x v="211"/>
    <x v="1"/>
    <x v="2"/>
    <x v="0"/>
    <x v="6"/>
    <x v="2"/>
    <n v="43.94"/>
    <n v="14"/>
    <n v="615.16"/>
  </r>
  <r>
    <s v="S706"/>
    <x v="311"/>
    <x v="5"/>
    <x v="1"/>
    <x v="2"/>
    <x v="0"/>
    <x v="1"/>
    <n v="247.79"/>
    <n v="6"/>
    <n v="1486.74"/>
  </r>
  <r>
    <s v="S707"/>
    <x v="162"/>
    <x v="1"/>
    <x v="1"/>
    <x v="1"/>
    <x v="5"/>
    <x v="0"/>
    <n v="100.92"/>
    <n v="7"/>
    <n v="706.44"/>
  </r>
  <r>
    <s v="S708"/>
    <x v="231"/>
    <x v="1"/>
    <x v="0"/>
    <x v="5"/>
    <x v="6"/>
    <x v="1"/>
    <n v="208.17"/>
    <n v="12"/>
    <n v="2498.04"/>
  </r>
  <r>
    <s v="S709"/>
    <x v="156"/>
    <x v="2"/>
    <x v="1"/>
    <x v="1"/>
    <x v="1"/>
    <x v="1"/>
    <n v="86.02"/>
    <n v="18"/>
    <n v="1548.36"/>
  </r>
  <r>
    <s v="S710"/>
    <x v="178"/>
    <x v="0"/>
    <x v="0"/>
    <x v="5"/>
    <x v="6"/>
    <x v="2"/>
    <n v="179.93"/>
    <n v="1"/>
    <n v="179.93"/>
  </r>
  <r>
    <s v="S711"/>
    <x v="276"/>
    <x v="2"/>
    <x v="4"/>
    <x v="4"/>
    <x v="2"/>
    <x v="0"/>
    <n v="197.25"/>
    <n v="4"/>
    <n v="789"/>
  </r>
  <r>
    <s v="S712"/>
    <x v="256"/>
    <x v="4"/>
    <x v="3"/>
    <x v="3"/>
    <x v="1"/>
    <x v="1"/>
    <n v="161.04"/>
    <n v="1"/>
    <n v="161.04"/>
  </r>
  <r>
    <s v="S713"/>
    <x v="282"/>
    <x v="2"/>
    <x v="5"/>
    <x v="3"/>
    <x v="0"/>
    <x v="2"/>
    <n v="133.75"/>
    <n v="9"/>
    <n v="1203.75"/>
  </r>
  <r>
    <s v="S714"/>
    <x v="321"/>
    <x v="1"/>
    <x v="5"/>
    <x v="5"/>
    <x v="3"/>
    <x v="0"/>
    <n v="120.61"/>
    <n v="17"/>
    <n v="2050.37"/>
  </r>
  <r>
    <s v="S715"/>
    <x v="54"/>
    <x v="3"/>
    <x v="5"/>
    <x v="2"/>
    <x v="4"/>
    <x v="2"/>
    <n v="106.75"/>
    <n v="16"/>
    <n v="1708"/>
  </r>
  <r>
    <s v="S716"/>
    <x v="322"/>
    <x v="4"/>
    <x v="0"/>
    <x v="4"/>
    <x v="3"/>
    <x v="0"/>
    <n v="234.5"/>
    <n v="7"/>
    <n v="1641.5"/>
  </r>
  <r>
    <s v="S717"/>
    <x v="300"/>
    <x v="5"/>
    <x v="2"/>
    <x v="3"/>
    <x v="6"/>
    <x v="2"/>
    <n v="212.74"/>
    <n v="18"/>
    <n v="3829.32"/>
  </r>
  <r>
    <s v="S718"/>
    <x v="251"/>
    <x v="0"/>
    <x v="0"/>
    <x v="5"/>
    <x v="1"/>
    <x v="1"/>
    <n v="242.31"/>
    <n v="1"/>
    <n v="242.31"/>
  </r>
  <r>
    <s v="S719"/>
    <x v="34"/>
    <x v="3"/>
    <x v="1"/>
    <x v="1"/>
    <x v="1"/>
    <x v="1"/>
    <n v="57.35"/>
    <n v="16"/>
    <n v="917.6"/>
  </r>
  <r>
    <s v="S720"/>
    <x v="210"/>
    <x v="1"/>
    <x v="2"/>
    <x v="4"/>
    <x v="3"/>
    <x v="2"/>
    <n v="190.79"/>
    <n v="9"/>
    <n v="1717.11"/>
  </r>
  <r>
    <s v="S721"/>
    <x v="320"/>
    <x v="0"/>
    <x v="2"/>
    <x v="5"/>
    <x v="4"/>
    <x v="2"/>
    <n v="236.43"/>
    <n v="2"/>
    <n v="472.86"/>
  </r>
  <r>
    <s v="S722"/>
    <x v="280"/>
    <x v="5"/>
    <x v="0"/>
    <x v="5"/>
    <x v="1"/>
    <x v="0"/>
    <n v="69.87"/>
    <n v="11"/>
    <n v="768.57"/>
  </r>
  <r>
    <s v="S723"/>
    <x v="323"/>
    <x v="1"/>
    <x v="0"/>
    <x v="2"/>
    <x v="3"/>
    <x v="2"/>
    <n v="44.63"/>
    <n v="5"/>
    <n v="223.15"/>
  </r>
  <r>
    <s v="S724"/>
    <x v="279"/>
    <x v="4"/>
    <x v="0"/>
    <x v="5"/>
    <x v="3"/>
    <x v="2"/>
    <n v="193.05"/>
    <n v="20"/>
    <n v="3861"/>
  </r>
  <r>
    <s v="S725"/>
    <x v="38"/>
    <x v="5"/>
    <x v="3"/>
    <x v="4"/>
    <x v="3"/>
    <x v="2"/>
    <n v="156.38"/>
    <n v="4"/>
    <n v="625.52"/>
  </r>
  <r>
    <s v="S726"/>
    <x v="29"/>
    <x v="5"/>
    <x v="0"/>
    <x v="2"/>
    <x v="1"/>
    <x v="0"/>
    <n v="215.2"/>
    <n v="16"/>
    <n v="3443.2"/>
  </r>
  <r>
    <s v="S727"/>
    <x v="82"/>
    <x v="3"/>
    <x v="1"/>
    <x v="4"/>
    <x v="5"/>
    <x v="2"/>
    <n v="60.75"/>
    <n v="2"/>
    <n v="121.5"/>
  </r>
  <r>
    <s v="S728"/>
    <x v="324"/>
    <x v="3"/>
    <x v="5"/>
    <x v="4"/>
    <x v="4"/>
    <x v="2"/>
    <n v="204.96"/>
    <n v="15"/>
    <n v="3074.4"/>
  </r>
  <r>
    <s v="S729"/>
    <x v="325"/>
    <x v="1"/>
    <x v="0"/>
    <x v="2"/>
    <x v="6"/>
    <x v="2"/>
    <n v="74.36"/>
    <n v="1"/>
    <n v="74.36"/>
  </r>
  <r>
    <s v="S730"/>
    <x v="25"/>
    <x v="5"/>
    <x v="1"/>
    <x v="5"/>
    <x v="3"/>
    <x v="1"/>
    <n v="66"/>
    <n v="14"/>
    <n v="924"/>
  </r>
  <r>
    <s v="S731"/>
    <x v="69"/>
    <x v="1"/>
    <x v="0"/>
    <x v="1"/>
    <x v="4"/>
    <x v="1"/>
    <n v="66.14"/>
    <n v="1"/>
    <n v="66.14"/>
  </r>
  <r>
    <s v="S732"/>
    <x v="9"/>
    <x v="3"/>
    <x v="0"/>
    <x v="0"/>
    <x v="5"/>
    <x v="1"/>
    <n v="209.21"/>
    <n v="19"/>
    <n v="3974.99"/>
  </r>
  <r>
    <s v="S733"/>
    <x v="83"/>
    <x v="0"/>
    <x v="3"/>
    <x v="3"/>
    <x v="2"/>
    <x v="0"/>
    <n v="176.34"/>
    <n v="20"/>
    <n v="3526.8"/>
  </r>
  <r>
    <s v="S734"/>
    <x v="315"/>
    <x v="1"/>
    <x v="0"/>
    <x v="3"/>
    <x v="6"/>
    <x v="0"/>
    <n v="145.07"/>
    <n v="12"/>
    <n v="1740.84"/>
  </r>
  <r>
    <s v="S735"/>
    <x v="14"/>
    <x v="0"/>
    <x v="1"/>
    <x v="3"/>
    <x v="0"/>
    <x v="1"/>
    <n v="108.94"/>
    <n v="20"/>
    <n v="2178.8000000000002"/>
  </r>
  <r>
    <s v="S736"/>
    <x v="136"/>
    <x v="3"/>
    <x v="1"/>
    <x v="4"/>
    <x v="3"/>
    <x v="0"/>
    <n v="222.98"/>
    <n v="16"/>
    <n v="3567.68"/>
  </r>
  <r>
    <s v="S737"/>
    <x v="92"/>
    <x v="0"/>
    <x v="5"/>
    <x v="2"/>
    <x v="5"/>
    <x v="1"/>
    <n v="116.34"/>
    <n v="9"/>
    <n v="1047.06"/>
  </r>
  <r>
    <s v="S738"/>
    <x v="8"/>
    <x v="3"/>
    <x v="1"/>
    <x v="4"/>
    <x v="6"/>
    <x v="1"/>
    <n v="209.65"/>
    <n v="13"/>
    <n v="2725.45"/>
  </r>
  <r>
    <s v="S739"/>
    <x v="214"/>
    <x v="5"/>
    <x v="3"/>
    <x v="0"/>
    <x v="1"/>
    <x v="2"/>
    <n v="126.61"/>
    <n v="3"/>
    <n v="379.83"/>
  </r>
  <r>
    <s v="S740"/>
    <x v="307"/>
    <x v="0"/>
    <x v="3"/>
    <x v="4"/>
    <x v="1"/>
    <x v="1"/>
    <n v="112.93"/>
    <n v="1"/>
    <n v="112.93"/>
  </r>
  <r>
    <s v="S741"/>
    <x v="238"/>
    <x v="0"/>
    <x v="5"/>
    <x v="1"/>
    <x v="2"/>
    <x v="2"/>
    <n v="131.79"/>
    <n v="1"/>
    <n v="131.79"/>
  </r>
  <r>
    <s v="S742"/>
    <x v="290"/>
    <x v="3"/>
    <x v="0"/>
    <x v="3"/>
    <x v="6"/>
    <x v="2"/>
    <n v="96.3"/>
    <n v="18"/>
    <n v="1733.4"/>
  </r>
  <r>
    <s v="S743"/>
    <x v="213"/>
    <x v="3"/>
    <x v="3"/>
    <x v="0"/>
    <x v="5"/>
    <x v="1"/>
    <n v="194.47"/>
    <n v="2"/>
    <n v="388.94"/>
  </r>
  <r>
    <s v="S744"/>
    <x v="106"/>
    <x v="1"/>
    <x v="0"/>
    <x v="0"/>
    <x v="2"/>
    <x v="2"/>
    <n v="140.6"/>
    <n v="16"/>
    <n v="2249.6"/>
  </r>
  <r>
    <s v="S745"/>
    <x v="177"/>
    <x v="1"/>
    <x v="2"/>
    <x v="5"/>
    <x v="3"/>
    <x v="2"/>
    <n v="81.09"/>
    <n v="4"/>
    <n v="324.36"/>
  </r>
  <r>
    <s v="S746"/>
    <x v="79"/>
    <x v="2"/>
    <x v="5"/>
    <x v="0"/>
    <x v="2"/>
    <x v="0"/>
    <n v="227.91"/>
    <n v="10"/>
    <n v="2279.1"/>
  </r>
  <r>
    <s v="S747"/>
    <x v="152"/>
    <x v="5"/>
    <x v="2"/>
    <x v="3"/>
    <x v="2"/>
    <x v="1"/>
    <n v="114.46"/>
    <n v="6"/>
    <n v="686.76"/>
  </r>
  <r>
    <s v="S748"/>
    <x v="169"/>
    <x v="4"/>
    <x v="5"/>
    <x v="2"/>
    <x v="0"/>
    <x v="0"/>
    <n v="149.58000000000001"/>
    <n v="4"/>
    <n v="598.32000000000005"/>
  </r>
  <r>
    <s v="S749"/>
    <x v="285"/>
    <x v="5"/>
    <x v="2"/>
    <x v="3"/>
    <x v="3"/>
    <x v="0"/>
    <n v="229.42"/>
    <n v="7"/>
    <n v="1605.94"/>
  </r>
  <r>
    <s v="S750"/>
    <x v="172"/>
    <x v="1"/>
    <x v="0"/>
    <x v="1"/>
    <x v="1"/>
    <x v="2"/>
    <n v="167.33"/>
    <n v="2"/>
    <n v="334.66"/>
  </r>
  <r>
    <s v="S751"/>
    <x v="286"/>
    <x v="2"/>
    <x v="2"/>
    <x v="4"/>
    <x v="1"/>
    <x v="1"/>
    <n v="55.72"/>
    <n v="19"/>
    <n v="1058.68"/>
  </r>
  <r>
    <s v="S752"/>
    <x v="222"/>
    <x v="5"/>
    <x v="5"/>
    <x v="4"/>
    <x v="5"/>
    <x v="0"/>
    <n v="236.76"/>
    <n v="18"/>
    <n v="4261.68"/>
  </r>
  <r>
    <s v="S753"/>
    <x v="117"/>
    <x v="3"/>
    <x v="0"/>
    <x v="2"/>
    <x v="1"/>
    <x v="2"/>
    <n v="168.1"/>
    <n v="19"/>
    <n v="3193.9"/>
  </r>
  <r>
    <s v="S754"/>
    <x v="139"/>
    <x v="2"/>
    <x v="4"/>
    <x v="1"/>
    <x v="6"/>
    <x v="2"/>
    <n v="103.68"/>
    <n v="20"/>
    <n v="2073.6"/>
  </r>
  <r>
    <s v="S755"/>
    <x v="326"/>
    <x v="4"/>
    <x v="3"/>
    <x v="0"/>
    <x v="3"/>
    <x v="2"/>
    <n v="60.64"/>
    <n v="8"/>
    <n v="485.12"/>
  </r>
  <r>
    <s v="S756"/>
    <x v="296"/>
    <x v="5"/>
    <x v="5"/>
    <x v="3"/>
    <x v="2"/>
    <x v="1"/>
    <n v="204.69"/>
    <n v="5"/>
    <n v="1023.45"/>
  </r>
  <r>
    <s v="S757"/>
    <x v="157"/>
    <x v="4"/>
    <x v="0"/>
    <x v="3"/>
    <x v="5"/>
    <x v="1"/>
    <n v="166.42"/>
    <n v="18"/>
    <n v="2995.56"/>
  </r>
  <r>
    <s v="S758"/>
    <x v="314"/>
    <x v="3"/>
    <x v="5"/>
    <x v="3"/>
    <x v="3"/>
    <x v="1"/>
    <n v="147.36000000000001"/>
    <n v="7"/>
    <n v="1031.52"/>
  </r>
  <r>
    <s v="S759"/>
    <x v="220"/>
    <x v="1"/>
    <x v="0"/>
    <x v="2"/>
    <x v="5"/>
    <x v="1"/>
    <n v="226.66"/>
    <n v="5"/>
    <n v="1133.3"/>
  </r>
  <r>
    <s v="S760"/>
    <x v="91"/>
    <x v="1"/>
    <x v="1"/>
    <x v="0"/>
    <x v="5"/>
    <x v="2"/>
    <n v="203.49"/>
    <n v="11"/>
    <n v="2238.39"/>
  </r>
  <r>
    <s v="S761"/>
    <x v="241"/>
    <x v="1"/>
    <x v="0"/>
    <x v="4"/>
    <x v="2"/>
    <x v="1"/>
    <n v="63.37"/>
    <n v="19"/>
    <n v="1204.03"/>
  </r>
  <r>
    <s v="S762"/>
    <x v="123"/>
    <x v="5"/>
    <x v="1"/>
    <x v="1"/>
    <x v="1"/>
    <x v="0"/>
    <n v="98.58"/>
    <n v="10"/>
    <n v="985.8"/>
  </r>
  <r>
    <s v="S763"/>
    <x v="20"/>
    <x v="0"/>
    <x v="0"/>
    <x v="5"/>
    <x v="0"/>
    <x v="2"/>
    <n v="84.67"/>
    <n v="5"/>
    <n v="423.35"/>
  </r>
  <r>
    <s v="S764"/>
    <x v="216"/>
    <x v="1"/>
    <x v="4"/>
    <x v="2"/>
    <x v="4"/>
    <x v="0"/>
    <n v="193.67"/>
    <n v="10"/>
    <n v="1936.7"/>
  </r>
  <r>
    <s v="S765"/>
    <x v="29"/>
    <x v="3"/>
    <x v="5"/>
    <x v="5"/>
    <x v="3"/>
    <x v="2"/>
    <n v="37.380000000000003"/>
    <n v="10"/>
    <n v="373.8"/>
  </r>
  <r>
    <s v="S766"/>
    <x v="6"/>
    <x v="1"/>
    <x v="0"/>
    <x v="1"/>
    <x v="4"/>
    <x v="0"/>
    <n v="155.38"/>
    <n v="20"/>
    <n v="3107.6"/>
  </r>
  <r>
    <s v="S767"/>
    <x v="206"/>
    <x v="5"/>
    <x v="2"/>
    <x v="1"/>
    <x v="4"/>
    <x v="1"/>
    <n v="197.74"/>
    <n v="18"/>
    <n v="3559.32"/>
  </r>
  <r>
    <s v="S768"/>
    <x v="138"/>
    <x v="5"/>
    <x v="3"/>
    <x v="4"/>
    <x v="4"/>
    <x v="1"/>
    <n v="222.89"/>
    <n v="2"/>
    <n v="445.78"/>
  </r>
  <r>
    <s v="S769"/>
    <x v="69"/>
    <x v="0"/>
    <x v="1"/>
    <x v="3"/>
    <x v="3"/>
    <x v="0"/>
    <n v="105.26"/>
    <n v="18"/>
    <n v="1894.68"/>
  </r>
  <r>
    <s v="S770"/>
    <x v="48"/>
    <x v="3"/>
    <x v="0"/>
    <x v="3"/>
    <x v="2"/>
    <x v="1"/>
    <n v="210.68"/>
    <n v="15"/>
    <n v="3160.2"/>
  </r>
  <r>
    <s v="S771"/>
    <x v="103"/>
    <x v="2"/>
    <x v="0"/>
    <x v="1"/>
    <x v="0"/>
    <x v="1"/>
    <n v="54.34"/>
    <n v="19"/>
    <n v="1032.46"/>
  </r>
  <r>
    <s v="S772"/>
    <x v="215"/>
    <x v="5"/>
    <x v="2"/>
    <x v="3"/>
    <x v="1"/>
    <x v="0"/>
    <n v="216.22"/>
    <n v="10"/>
    <n v="2162.1999999999998"/>
  </r>
  <r>
    <s v="S773"/>
    <x v="313"/>
    <x v="0"/>
    <x v="3"/>
    <x v="5"/>
    <x v="6"/>
    <x v="2"/>
    <n v="58.05"/>
    <n v="17"/>
    <n v="986.85"/>
  </r>
  <r>
    <s v="S774"/>
    <x v="327"/>
    <x v="3"/>
    <x v="2"/>
    <x v="1"/>
    <x v="4"/>
    <x v="2"/>
    <n v="117.4"/>
    <n v="9"/>
    <n v="1056.5999999999999"/>
  </r>
  <r>
    <s v="S775"/>
    <x v="247"/>
    <x v="5"/>
    <x v="0"/>
    <x v="2"/>
    <x v="1"/>
    <x v="0"/>
    <n v="205.4"/>
    <n v="11"/>
    <n v="2259.4"/>
  </r>
  <r>
    <s v="S776"/>
    <x v="198"/>
    <x v="0"/>
    <x v="0"/>
    <x v="1"/>
    <x v="4"/>
    <x v="1"/>
    <n v="62.98"/>
    <n v="20"/>
    <n v="1259.5999999999999"/>
  </r>
  <r>
    <s v="S777"/>
    <x v="328"/>
    <x v="2"/>
    <x v="5"/>
    <x v="0"/>
    <x v="1"/>
    <x v="1"/>
    <n v="80.44"/>
    <n v="16"/>
    <n v="1287.04"/>
  </r>
  <r>
    <s v="S778"/>
    <x v="86"/>
    <x v="3"/>
    <x v="2"/>
    <x v="1"/>
    <x v="1"/>
    <x v="1"/>
    <n v="188.9"/>
    <n v="17"/>
    <n v="3211.3"/>
  </r>
  <r>
    <s v="S779"/>
    <x v="5"/>
    <x v="2"/>
    <x v="5"/>
    <x v="4"/>
    <x v="1"/>
    <x v="2"/>
    <n v="188.41"/>
    <n v="14"/>
    <n v="2637.74"/>
  </r>
  <r>
    <s v="S780"/>
    <x v="168"/>
    <x v="1"/>
    <x v="4"/>
    <x v="0"/>
    <x v="3"/>
    <x v="2"/>
    <n v="171.05"/>
    <n v="7"/>
    <n v="1197.3499999999999"/>
  </r>
  <r>
    <s v="S781"/>
    <x v="314"/>
    <x v="2"/>
    <x v="3"/>
    <x v="1"/>
    <x v="4"/>
    <x v="1"/>
    <n v="182.67"/>
    <n v="20"/>
    <n v="3653.4"/>
  </r>
  <r>
    <s v="S782"/>
    <x v="323"/>
    <x v="1"/>
    <x v="4"/>
    <x v="4"/>
    <x v="0"/>
    <x v="1"/>
    <n v="149.4"/>
    <n v="4"/>
    <n v="597.6"/>
  </r>
  <r>
    <s v="S783"/>
    <x v="253"/>
    <x v="3"/>
    <x v="1"/>
    <x v="3"/>
    <x v="3"/>
    <x v="2"/>
    <n v="85.4"/>
    <n v="20"/>
    <n v="1708"/>
  </r>
  <r>
    <s v="S784"/>
    <x v="177"/>
    <x v="4"/>
    <x v="5"/>
    <x v="3"/>
    <x v="3"/>
    <x v="0"/>
    <n v="106.05"/>
    <n v="13"/>
    <n v="1378.65"/>
  </r>
  <r>
    <s v="S785"/>
    <x v="329"/>
    <x v="2"/>
    <x v="5"/>
    <x v="4"/>
    <x v="6"/>
    <x v="0"/>
    <n v="69.95"/>
    <n v="12"/>
    <n v="839.4"/>
  </r>
  <r>
    <s v="S786"/>
    <x v="122"/>
    <x v="4"/>
    <x v="5"/>
    <x v="5"/>
    <x v="1"/>
    <x v="0"/>
    <n v="229.86"/>
    <n v="7"/>
    <n v="1609.02"/>
  </r>
  <r>
    <s v="S787"/>
    <x v="71"/>
    <x v="0"/>
    <x v="0"/>
    <x v="5"/>
    <x v="0"/>
    <x v="1"/>
    <n v="158.35"/>
    <n v="18"/>
    <n v="2850.3"/>
  </r>
  <r>
    <s v="S788"/>
    <x v="301"/>
    <x v="1"/>
    <x v="3"/>
    <x v="5"/>
    <x v="0"/>
    <x v="1"/>
    <n v="118.19"/>
    <n v="7"/>
    <n v="827.33"/>
  </r>
  <r>
    <s v="S789"/>
    <x v="330"/>
    <x v="1"/>
    <x v="1"/>
    <x v="3"/>
    <x v="2"/>
    <x v="0"/>
    <n v="131.63999999999999"/>
    <n v="14"/>
    <n v="1842.96"/>
  </r>
  <r>
    <s v="S790"/>
    <x v="331"/>
    <x v="1"/>
    <x v="4"/>
    <x v="5"/>
    <x v="1"/>
    <x v="0"/>
    <n v="238.4"/>
    <n v="15"/>
    <n v="3576"/>
  </r>
  <r>
    <s v="S791"/>
    <x v="36"/>
    <x v="4"/>
    <x v="5"/>
    <x v="5"/>
    <x v="5"/>
    <x v="0"/>
    <n v="63.74"/>
    <n v="6"/>
    <n v="382.44"/>
  </r>
  <r>
    <s v="S792"/>
    <x v="113"/>
    <x v="5"/>
    <x v="3"/>
    <x v="3"/>
    <x v="6"/>
    <x v="2"/>
    <n v="158.97"/>
    <n v="14"/>
    <n v="2225.58"/>
  </r>
  <r>
    <s v="S793"/>
    <x v="15"/>
    <x v="5"/>
    <x v="0"/>
    <x v="5"/>
    <x v="5"/>
    <x v="0"/>
    <n v="141.30000000000001"/>
    <n v="1"/>
    <n v="141.30000000000001"/>
  </r>
  <r>
    <s v="S794"/>
    <x v="174"/>
    <x v="0"/>
    <x v="0"/>
    <x v="1"/>
    <x v="1"/>
    <x v="1"/>
    <n v="164.52"/>
    <n v="20"/>
    <n v="3290.4"/>
  </r>
  <r>
    <s v="S795"/>
    <x v="50"/>
    <x v="2"/>
    <x v="1"/>
    <x v="0"/>
    <x v="4"/>
    <x v="1"/>
    <n v="33.979999999999997"/>
    <n v="12"/>
    <n v="407.76"/>
  </r>
  <r>
    <s v="S796"/>
    <x v="328"/>
    <x v="0"/>
    <x v="4"/>
    <x v="4"/>
    <x v="6"/>
    <x v="2"/>
    <n v="221.87"/>
    <n v="20"/>
    <n v="4437.3999999999996"/>
  </r>
  <r>
    <s v="S797"/>
    <x v="107"/>
    <x v="5"/>
    <x v="2"/>
    <x v="1"/>
    <x v="0"/>
    <x v="0"/>
    <n v="235.07"/>
    <n v="1"/>
    <n v="235.07"/>
  </r>
  <r>
    <s v="S798"/>
    <x v="291"/>
    <x v="4"/>
    <x v="0"/>
    <x v="2"/>
    <x v="3"/>
    <x v="1"/>
    <n v="154.33000000000001"/>
    <n v="18"/>
    <n v="2777.94"/>
  </r>
  <r>
    <s v="S799"/>
    <x v="206"/>
    <x v="0"/>
    <x v="5"/>
    <x v="1"/>
    <x v="0"/>
    <x v="0"/>
    <n v="183.26"/>
    <n v="12"/>
    <n v="2199.12"/>
  </r>
  <r>
    <s v="S800"/>
    <x v="221"/>
    <x v="2"/>
    <x v="5"/>
    <x v="4"/>
    <x v="5"/>
    <x v="1"/>
    <n v="232.95"/>
    <n v="1"/>
    <n v="232.95"/>
  </r>
  <r>
    <s v="S801"/>
    <x v="275"/>
    <x v="3"/>
    <x v="0"/>
    <x v="3"/>
    <x v="2"/>
    <x v="2"/>
    <n v="185.59"/>
    <n v="10"/>
    <n v="1855.9"/>
  </r>
  <r>
    <s v="S802"/>
    <x v="99"/>
    <x v="1"/>
    <x v="5"/>
    <x v="2"/>
    <x v="0"/>
    <x v="0"/>
    <n v="63.56"/>
    <n v="14"/>
    <n v="889.84"/>
  </r>
  <r>
    <s v="S803"/>
    <x v="168"/>
    <x v="4"/>
    <x v="2"/>
    <x v="5"/>
    <x v="0"/>
    <x v="1"/>
    <n v="156.78"/>
    <n v="20"/>
    <n v="3135.6"/>
  </r>
  <r>
    <s v="S804"/>
    <x v="305"/>
    <x v="2"/>
    <x v="3"/>
    <x v="3"/>
    <x v="5"/>
    <x v="0"/>
    <n v="163.47999999999999"/>
    <n v="2"/>
    <n v="326.95999999999998"/>
  </r>
  <r>
    <s v="S805"/>
    <x v="10"/>
    <x v="4"/>
    <x v="1"/>
    <x v="2"/>
    <x v="2"/>
    <x v="1"/>
    <n v="123.31"/>
    <n v="3"/>
    <n v="369.93"/>
  </r>
  <r>
    <s v="S806"/>
    <x v="43"/>
    <x v="4"/>
    <x v="2"/>
    <x v="3"/>
    <x v="2"/>
    <x v="0"/>
    <n v="192.02"/>
    <n v="11"/>
    <n v="2112.2199999999998"/>
  </r>
  <r>
    <s v="S807"/>
    <x v="210"/>
    <x v="2"/>
    <x v="1"/>
    <x v="2"/>
    <x v="3"/>
    <x v="2"/>
    <n v="235.56"/>
    <n v="10"/>
    <n v="2355.6"/>
  </r>
  <r>
    <s v="S808"/>
    <x v="230"/>
    <x v="2"/>
    <x v="0"/>
    <x v="0"/>
    <x v="2"/>
    <x v="1"/>
    <n v="233.63"/>
    <n v="11"/>
    <n v="2569.9299999999998"/>
  </r>
  <r>
    <s v="S809"/>
    <x v="19"/>
    <x v="2"/>
    <x v="4"/>
    <x v="0"/>
    <x v="6"/>
    <x v="0"/>
    <n v="129.18"/>
    <n v="19"/>
    <n v="2454.42"/>
  </r>
  <r>
    <s v="S810"/>
    <x v="247"/>
    <x v="3"/>
    <x v="2"/>
    <x v="3"/>
    <x v="2"/>
    <x v="1"/>
    <n v="54.91"/>
    <n v="11"/>
    <n v="604.01"/>
  </r>
  <r>
    <s v="S811"/>
    <x v="137"/>
    <x v="4"/>
    <x v="2"/>
    <x v="3"/>
    <x v="2"/>
    <x v="2"/>
    <n v="246.67"/>
    <n v="9"/>
    <n v="2220.0300000000002"/>
  </r>
  <r>
    <s v="S812"/>
    <x v="180"/>
    <x v="5"/>
    <x v="4"/>
    <x v="0"/>
    <x v="6"/>
    <x v="1"/>
    <n v="214.56"/>
    <n v="15"/>
    <n v="3218.4"/>
  </r>
  <r>
    <s v="S813"/>
    <x v="178"/>
    <x v="1"/>
    <x v="5"/>
    <x v="5"/>
    <x v="4"/>
    <x v="2"/>
    <n v="57.43"/>
    <n v="6"/>
    <n v="344.58"/>
  </r>
  <r>
    <s v="S814"/>
    <x v="1"/>
    <x v="3"/>
    <x v="4"/>
    <x v="3"/>
    <x v="2"/>
    <x v="0"/>
    <n v="232.59"/>
    <n v="18"/>
    <n v="4186.62"/>
  </r>
  <r>
    <s v="S815"/>
    <x v="59"/>
    <x v="2"/>
    <x v="0"/>
    <x v="5"/>
    <x v="4"/>
    <x v="1"/>
    <n v="221.38"/>
    <n v="1"/>
    <n v="221.38"/>
  </r>
  <r>
    <s v="S816"/>
    <x v="197"/>
    <x v="2"/>
    <x v="2"/>
    <x v="5"/>
    <x v="5"/>
    <x v="2"/>
    <n v="144.13999999999999"/>
    <n v="13"/>
    <n v="1873.82"/>
  </r>
  <r>
    <s v="S817"/>
    <x v="258"/>
    <x v="5"/>
    <x v="0"/>
    <x v="2"/>
    <x v="3"/>
    <x v="2"/>
    <n v="160.08000000000001"/>
    <n v="18"/>
    <n v="2881.44"/>
  </r>
  <r>
    <s v="S818"/>
    <x v="217"/>
    <x v="1"/>
    <x v="4"/>
    <x v="2"/>
    <x v="6"/>
    <x v="1"/>
    <n v="117.78"/>
    <n v="19"/>
    <n v="2237.8200000000002"/>
  </r>
  <r>
    <s v="S819"/>
    <x v="332"/>
    <x v="5"/>
    <x v="4"/>
    <x v="1"/>
    <x v="1"/>
    <x v="1"/>
    <n v="42.05"/>
    <n v="3"/>
    <n v="126.15"/>
  </r>
  <r>
    <s v="S820"/>
    <x v="219"/>
    <x v="1"/>
    <x v="2"/>
    <x v="1"/>
    <x v="0"/>
    <x v="2"/>
    <n v="103.74"/>
    <n v="20"/>
    <n v="2074.8000000000002"/>
  </r>
  <r>
    <s v="S821"/>
    <x v="5"/>
    <x v="2"/>
    <x v="5"/>
    <x v="3"/>
    <x v="4"/>
    <x v="0"/>
    <n v="206.63"/>
    <n v="6"/>
    <n v="1239.78"/>
  </r>
  <r>
    <s v="S822"/>
    <x v="147"/>
    <x v="0"/>
    <x v="2"/>
    <x v="4"/>
    <x v="0"/>
    <x v="0"/>
    <n v="31.02"/>
    <n v="12"/>
    <n v="372.24"/>
  </r>
  <r>
    <s v="S823"/>
    <x v="49"/>
    <x v="3"/>
    <x v="1"/>
    <x v="3"/>
    <x v="0"/>
    <x v="1"/>
    <n v="103.37"/>
    <n v="12"/>
    <n v="1240.44"/>
  </r>
  <r>
    <s v="S824"/>
    <x v="280"/>
    <x v="5"/>
    <x v="3"/>
    <x v="5"/>
    <x v="1"/>
    <x v="1"/>
    <n v="117.6"/>
    <n v="13"/>
    <n v="1528.8"/>
  </r>
  <r>
    <s v="S825"/>
    <x v="198"/>
    <x v="1"/>
    <x v="5"/>
    <x v="3"/>
    <x v="4"/>
    <x v="2"/>
    <n v="148.22999999999999"/>
    <n v="4"/>
    <n v="592.91999999999996"/>
  </r>
  <r>
    <s v="S826"/>
    <x v="17"/>
    <x v="2"/>
    <x v="5"/>
    <x v="2"/>
    <x v="6"/>
    <x v="1"/>
    <n v="232.37"/>
    <n v="19"/>
    <n v="4415.03"/>
  </r>
  <r>
    <s v="S827"/>
    <x v="8"/>
    <x v="2"/>
    <x v="0"/>
    <x v="5"/>
    <x v="5"/>
    <x v="2"/>
    <n v="106.2"/>
    <n v="12"/>
    <n v="1274.4000000000001"/>
  </r>
  <r>
    <s v="S828"/>
    <x v="257"/>
    <x v="2"/>
    <x v="3"/>
    <x v="0"/>
    <x v="4"/>
    <x v="2"/>
    <n v="106.33"/>
    <n v="8"/>
    <n v="850.64"/>
  </r>
  <r>
    <s v="S829"/>
    <x v="43"/>
    <x v="2"/>
    <x v="1"/>
    <x v="1"/>
    <x v="0"/>
    <x v="2"/>
    <n v="192.25"/>
    <n v="16"/>
    <n v="3076"/>
  </r>
  <r>
    <s v="S830"/>
    <x v="96"/>
    <x v="0"/>
    <x v="5"/>
    <x v="3"/>
    <x v="3"/>
    <x v="0"/>
    <n v="129.49"/>
    <n v="8"/>
    <n v="1035.92"/>
  </r>
  <r>
    <s v="S831"/>
    <x v="132"/>
    <x v="3"/>
    <x v="4"/>
    <x v="1"/>
    <x v="2"/>
    <x v="0"/>
    <n v="79.41"/>
    <n v="6"/>
    <n v="476.46"/>
  </r>
  <r>
    <s v="S832"/>
    <x v="107"/>
    <x v="5"/>
    <x v="4"/>
    <x v="3"/>
    <x v="1"/>
    <x v="2"/>
    <n v="129.54"/>
    <n v="8"/>
    <n v="1036.32"/>
  </r>
  <r>
    <s v="S833"/>
    <x v="151"/>
    <x v="5"/>
    <x v="2"/>
    <x v="1"/>
    <x v="0"/>
    <x v="1"/>
    <n v="60.99"/>
    <n v="16"/>
    <n v="975.84"/>
  </r>
  <r>
    <s v="S834"/>
    <x v="148"/>
    <x v="3"/>
    <x v="1"/>
    <x v="2"/>
    <x v="5"/>
    <x v="1"/>
    <n v="68.81"/>
    <n v="1"/>
    <n v="68.81"/>
  </r>
  <r>
    <s v="S835"/>
    <x v="216"/>
    <x v="1"/>
    <x v="5"/>
    <x v="5"/>
    <x v="5"/>
    <x v="0"/>
    <n v="139.63999999999999"/>
    <n v="5"/>
    <n v="698.2"/>
  </r>
  <r>
    <s v="S836"/>
    <x v="269"/>
    <x v="4"/>
    <x v="2"/>
    <x v="1"/>
    <x v="6"/>
    <x v="1"/>
    <n v="122.16"/>
    <n v="6"/>
    <n v="732.96"/>
  </r>
  <r>
    <s v="S837"/>
    <x v="127"/>
    <x v="1"/>
    <x v="0"/>
    <x v="3"/>
    <x v="4"/>
    <x v="2"/>
    <n v="231.27"/>
    <n v="1"/>
    <n v="231.27"/>
  </r>
  <r>
    <s v="S838"/>
    <x v="275"/>
    <x v="5"/>
    <x v="5"/>
    <x v="4"/>
    <x v="4"/>
    <x v="2"/>
    <n v="109.73"/>
    <n v="7"/>
    <n v="768.11"/>
  </r>
  <r>
    <s v="S839"/>
    <x v="154"/>
    <x v="5"/>
    <x v="5"/>
    <x v="2"/>
    <x v="4"/>
    <x v="1"/>
    <n v="157.72999999999999"/>
    <n v="8"/>
    <n v="1261.8399999999999"/>
  </r>
  <r>
    <s v="S840"/>
    <x v="38"/>
    <x v="1"/>
    <x v="5"/>
    <x v="0"/>
    <x v="0"/>
    <x v="1"/>
    <n v="169.1"/>
    <n v="20"/>
    <n v="3382"/>
  </r>
  <r>
    <s v="S841"/>
    <x v="185"/>
    <x v="5"/>
    <x v="5"/>
    <x v="1"/>
    <x v="1"/>
    <x v="0"/>
    <n v="32.880000000000003"/>
    <n v="11"/>
    <n v="361.68"/>
  </r>
  <r>
    <s v="S842"/>
    <x v="8"/>
    <x v="3"/>
    <x v="1"/>
    <x v="5"/>
    <x v="0"/>
    <x v="1"/>
    <n v="175.98"/>
    <n v="13"/>
    <n v="2287.7399999999998"/>
  </r>
  <r>
    <s v="S843"/>
    <x v="333"/>
    <x v="3"/>
    <x v="5"/>
    <x v="5"/>
    <x v="0"/>
    <x v="2"/>
    <n v="69.17"/>
    <n v="14"/>
    <n v="968.38"/>
  </r>
  <r>
    <s v="S844"/>
    <x v="253"/>
    <x v="0"/>
    <x v="5"/>
    <x v="1"/>
    <x v="4"/>
    <x v="0"/>
    <n v="241.44"/>
    <n v="20"/>
    <n v="4828.8"/>
  </r>
  <r>
    <s v="S845"/>
    <x v="143"/>
    <x v="1"/>
    <x v="2"/>
    <x v="1"/>
    <x v="5"/>
    <x v="0"/>
    <n v="62.71"/>
    <n v="16"/>
    <n v="1003.36"/>
  </r>
  <r>
    <s v="S846"/>
    <x v="67"/>
    <x v="2"/>
    <x v="3"/>
    <x v="0"/>
    <x v="4"/>
    <x v="0"/>
    <n v="121.22"/>
    <n v="14"/>
    <n v="1697.08"/>
  </r>
  <r>
    <s v="S847"/>
    <x v="124"/>
    <x v="5"/>
    <x v="2"/>
    <x v="4"/>
    <x v="4"/>
    <x v="2"/>
    <n v="48.78"/>
    <n v="17"/>
    <n v="829.26"/>
  </r>
  <r>
    <s v="S848"/>
    <x v="101"/>
    <x v="1"/>
    <x v="0"/>
    <x v="1"/>
    <x v="1"/>
    <x v="2"/>
    <n v="249.31"/>
    <n v="19"/>
    <n v="4736.8900000000003"/>
  </r>
  <r>
    <s v="S849"/>
    <x v="296"/>
    <x v="5"/>
    <x v="2"/>
    <x v="5"/>
    <x v="3"/>
    <x v="1"/>
    <n v="140.47999999999999"/>
    <n v="9"/>
    <n v="1264.32"/>
  </r>
  <r>
    <s v="S850"/>
    <x v="258"/>
    <x v="4"/>
    <x v="2"/>
    <x v="5"/>
    <x v="2"/>
    <x v="1"/>
    <n v="160.97999999999999"/>
    <n v="14"/>
    <n v="2253.7199999999998"/>
  </r>
  <r>
    <s v="S851"/>
    <x v="94"/>
    <x v="2"/>
    <x v="1"/>
    <x v="1"/>
    <x v="1"/>
    <x v="2"/>
    <n v="44.76"/>
    <n v="19"/>
    <n v="850.44"/>
  </r>
  <r>
    <s v="S852"/>
    <x v="208"/>
    <x v="1"/>
    <x v="4"/>
    <x v="4"/>
    <x v="3"/>
    <x v="0"/>
    <n v="194.99"/>
    <n v="7"/>
    <n v="1364.93"/>
  </r>
  <r>
    <s v="S853"/>
    <x v="334"/>
    <x v="1"/>
    <x v="5"/>
    <x v="0"/>
    <x v="3"/>
    <x v="1"/>
    <n v="76.180000000000007"/>
    <n v="14"/>
    <n v="1066.52"/>
  </r>
  <r>
    <s v="S854"/>
    <x v="2"/>
    <x v="4"/>
    <x v="5"/>
    <x v="0"/>
    <x v="2"/>
    <x v="2"/>
    <n v="227.57"/>
    <n v="19"/>
    <n v="4323.83"/>
  </r>
  <r>
    <s v="S855"/>
    <x v="141"/>
    <x v="2"/>
    <x v="5"/>
    <x v="4"/>
    <x v="0"/>
    <x v="2"/>
    <n v="75.13"/>
    <n v="14"/>
    <n v="1051.82"/>
  </r>
  <r>
    <s v="S856"/>
    <x v="62"/>
    <x v="5"/>
    <x v="4"/>
    <x v="0"/>
    <x v="5"/>
    <x v="2"/>
    <n v="71.95"/>
    <n v="18"/>
    <n v="1295.0999999999999"/>
  </r>
  <r>
    <s v="S857"/>
    <x v="218"/>
    <x v="1"/>
    <x v="2"/>
    <x v="3"/>
    <x v="1"/>
    <x v="1"/>
    <n v="38.04"/>
    <n v="13"/>
    <n v="494.52"/>
  </r>
  <r>
    <s v="S858"/>
    <x v="335"/>
    <x v="1"/>
    <x v="2"/>
    <x v="5"/>
    <x v="0"/>
    <x v="1"/>
    <n v="133.85"/>
    <n v="15"/>
    <n v="2007.75"/>
  </r>
  <r>
    <s v="S859"/>
    <x v="188"/>
    <x v="2"/>
    <x v="5"/>
    <x v="3"/>
    <x v="2"/>
    <x v="1"/>
    <n v="154.27000000000001"/>
    <n v="11"/>
    <n v="1696.97"/>
  </r>
  <r>
    <s v="S860"/>
    <x v="126"/>
    <x v="5"/>
    <x v="0"/>
    <x v="5"/>
    <x v="4"/>
    <x v="0"/>
    <n v="44.46"/>
    <n v="6"/>
    <n v="266.76"/>
  </r>
  <r>
    <s v="S861"/>
    <x v="153"/>
    <x v="2"/>
    <x v="3"/>
    <x v="5"/>
    <x v="1"/>
    <x v="2"/>
    <n v="200.62"/>
    <n v="16"/>
    <n v="3209.92"/>
  </r>
  <r>
    <s v="S862"/>
    <x v="168"/>
    <x v="0"/>
    <x v="5"/>
    <x v="5"/>
    <x v="2"/>
    <x v="2"/>
    <n v="129.72"/>
    <n v="12"/>
    <n v="1556.64"/>
  </r>
  <r>
    <s v="S863"/>
    <x v="188"/>
    <x v="1"/>
    <x v="5"/>
    <x v="0"/>
    <x v="2"/>
    <x v="1"/>
    <n v="145.37"/>
    <n v="20"/>
    <n v="2907.4"/>
  </r>
  <r>
    <s v="S864"/>
    <x v="317"/>
    <x v="1"/>
    <x v="3"/>
    <x v="4"/>
    <x v="1"/>
    <x v="0"/>
    <n v="126.97"/>
    <n v="6"/>
    <n v="761.82"/>
  </r>
  <r>
    <s v="S865"/>
    <x v="139"/>
    <x v="4"/>
    <x v="2"/>
    <x v="5"/>
    <x v="4"/>
    <x v="1"/>
    <n v="118.17"/>
    <n v="17"/>
    <n v="2008.89"/>
  </r>
  <r>
    <s v="S866"/>
    <x v="332"/>
    <x v="1"/>
    <x v="2"/>
    <x v="1"/>
    <x v="0"/>
    <x v="1"/>
    <n v="153.12"/>
    <n v="17"/>
    <n v="2603.04"/>
  </r>
  <r>
    <s v="S867"/>
    <x v="319"/>
    <x v="3"/>
    <x v="0"/>
    <x v="5"/>
    <x v="0"/>
    <x v="0"/>
    <n v="64.150000000000006"/>
    <n v="12"/>
    <n v="769.8"/>
  </r>
  <r>
    <s v="S868"/>
    <x v="173"/>
    <x v="4"/>
    <x v="0"/>
    <x v="4"/>
    <x v="6"/>
    <x v="1"/>
    <n v="70.02"/>
    <n v="13"/>
    <n v="910.26"/>
  </r>
  <r>
    <s v="S869"/>
    <x v="227"/>
    <x v="0"/>
    <x v="0"/>
    <x v="3"/>
    <x v="1"/>
    <x v="0"/>
    <n v="219.59"/>
    <n v="17"/>
    <n v="3733.03"/>
  </r>
  <r>
    <s v="S870"/>
    <x v="238"/>
    <x v="1"/>
    <x v="5"/>
    <x v="1"/>
    <x v="3"/>
    <x v="2"/>
    <n v="238.15"/>
    <n v="10"/>
    <n v="2381.5"/>
  </r>
  <r>
    <s v="S871"/>
    <x v="173"/>
    <x v="2"/>
    <x v="2"/>
    <x v="4"/>
    <x v="6"/>
    <x v="1"/>
    <n v="112.13"/>
    <n v="8"/>
    <n v="897.04"/>
  </r>
  <r>
    <s v="S872"/>
    <x v="247"/>
    <x v="3"/>
    <x v="3"/>
    <x v="1"/>
    <x v="1"/>
    <x v="1"/>
    <n v="89.56"/>
    <n v="9"/>
    <n v="806.04"/>
  </r>
  <r>
    <s v="S873"/>
    <x v="50"/>
    <x v="4"/>
    <x v="4"/>
    <x v="5"/>
    <x v="4"/>
    <x v="1"/>
    <n v="171.68"/>
    <n v="17"/>
    <n v="2918.56"/>
  </r>
  <r>
    <s v="S874"/>
    <x v="163"/>
    <x v="2"/>
    <x v="4"/>
    <x v="3"/>
    <x v="6"/>
    <x v="2"/>
    <n v="119.92"/>
    <n v="18"/>
    <n v="2158.56"/>
  </r>
  <r>
    <s v="S875"/>
    <x v="127"/>
    <x v="3"/>
    <x v="4"/>
    <x v="4"/>
    <x v="2"/>
    <x v="2"/>
    <n v="35.58"/>
    <n v="16"/>
    <n v="569.28"/>
  </r>
  <r>
    <s v="S876"/>
    <x v="135"/>
    <x v="5"/>
    <x v="1"/>
    <x v="0"/>
    <x v="1"/>
    <x v="2"/>
    <n v="64.349999999999994"/>
    <n v="1"/>
    <n v="64.349999999999994"/>
  </r>
  <r>
    <s v="S877"/>
    <x v="79"/>
    <x v="1"/>
    <x v="0"/>
    <x v="2"/>
    <x v="4"/>
    <x v="2"/>
    <n v="187.51"/>
    <n v="8"/>
    <n v="1500.08"/>
  </r>
  <r>
    <s v="S878"/>
    <x v="184"/>
    <x v="2"/>
    <x v="5"/>
    <x v="5"/>
    <x v="2"/>
    <x v="2"/>
    <n v="174.96"/>
    <n v="12"/>
    <n v="2099.52"/>
  </r>
  <r>
    <s v="S879"/>
    <x v="37"/>
    <x v="0"/>
    <x v="3"/>
    <x v="3"/>
    <x v="2"/>
    <x v="2"/>
    <n v="35.96"/>
    <n v="10"/>
    <n v="359.6"/>
  </r>
  <r>
    <s v="S880"/>
    <x v="59"/>
    <x v="3"/>
    <x v="3"/>
    <x v="0"/>
    <x v="3"/>
    <x v="0"/>
    <n v="78.83"/>
    <n v="18"/>
    <n v="1418.94"/>
  </r>
  <r>
    <s v="S881"/>
    <x v="125"/>
    <x v="3"/>
    <x v="0"/>
    <x v="3"/>
    <x v="0"/>
    <x v="2"/>
    <n v="80.84"/>
    <n v="9"/>
    <n v="727.56"/>
  </r>
  <r>
    <s v="S882"/>
    <x v="227"/>
    <x v="1"/>
    <x v="2"/>
    <x v="0"/>
    <x v="0"/>
    <x v="0"/>
    <n v="177.82"/>
    <n v="8"/>
    <n v="1422.56"/>
  </r>
  <r>
    <s v="S883"/>
    <x v="298"/>
    <x v="2"/>
    <x v="4"/>
    <x v="2"/>
    <x v="4"/>
    <x v="0"/>
    <n v="34.340000000000003"/>
    <n v="8"/>
    <n v="274.72000000000003"/>
  </r>
  <r>
    <s v="S884"/>
    <x v="336"/>
    <x v="1"/>
    <x v="0"/>
    <x v="4"/>
    <x v="5"/>
    <x v="0"/>
    <n v="52.9"/>
    <n v="3"/>
    <n v="158.69999999999999"/>
  </r>
  <r>
    <s v="S885"/>
    <x v="44"/>
    <x v="5"/>
    <x v="4"/>
    <x v="1"/>
    <x v="3"/>
    <x v="2"/>
    <n v="205.98"/>
    <n v="2"/>
    <n v="411.96"/>
  </r>
  <r>
    <s v="S886"/>
    <x v="260"/>
    <x v="5"/>
    <x v="2"/>
    <x v="1"/>
    <x v="3"/>
    <x v="2"/>
    <n v="69.28"/>
    <n v="9"/>
    <n v="623.52"/>
  </r>
  <r>
    <s v="S887"/>
    <x v="168"/>
    <x v="3"/>
    <x v="1"/>
    <x v="1"/>
    <x v="4"/>
    <x v="2"/>
    <n v="173.6"/>
    <n v="19"/>
    <n v="3298.4"/>
  </r>
  <r>
    <s v="S888"/>
    <x v="45"/>
    <x v="0"/>
    <x v="5"/>
    <x v="0"/>
    <x v="6"/>
    <x v="1"/>
    <n v="82.4"/>
    <n v="18"/>
    <n v="1483.2"/>
  </r>
  <r>
    <s v="S889"/>
    <x v="75"/>
    <x v="0"/>
    <x v="0"/>
    <x v="1"/>
    <x v="6"/>
    <x v="2"/>
    <n v="51.88"/>
    <n v="15"/>
    <n v="778.2"/>
  </r>
  <r>
    <s v="S890"/>
    <x v="83"/>
    <x v="0"/>
    <x v="0"/>
    <x v="2"/>
    <x v="6"/>
    <x v="1"/>
    <n v="83.5"/>
    <n v="1"/>
    <n v="83.5"/>
  </r>
  <r>
    <s v="S891"/>
    <x v="210"/>
    <x v="4"/>
    <x v="5"/>
    <x v="0"/>
    <x v="0"/>
    <x v="1"/>
    <n v="188.9"/>
    <n v="11"/>
    <n v="2077.9"/>
  </r>
  <r>
    <s v="S892"/>
    <x v="17"/>
    <x v="4"/>
    <x v="3"/>
    <x v="1"/>
    <x v="3"/>
    <x v="2"/>
    <n v="218.25"/>
    <n v="8"/>
    <n v="1746"/>
  </r>
  <r>
    <s v="S893"/>
    <x v="120"/>
    <x v="5"/>
    <x v="2"/>
    <x v="4"/>
    <x v="2"/>
    <x v="2"/>
    <n v="212.65"/>
    <n v="16"/>
    <n v="3402.4"/>
  </r>
  <r>
    <s v="S894"/>
    <x v="213"/>
    <x v="4"/>
    <x v="3"/>
    <x v="2"/>
    <x v="5"/>
    <x v="0"/>
    <n v="117.38"/>
    <n v="13"/>
    <n v="1525.94"/>
  </r>
  <r>
    <s v="S895"/>
    <x v="260"/>
    <x v="0"/>
    <x v="0"/>
    <x v="0"/>
    <x v="4"/>
    <x v="0"/>
    <n v="176.98"/>
    <n v="8"/>
    <n v="1415.84"/>
  </r>
  <r>
    <s v="S896"/>
    <x v="327"/>
    <x v="5"/>
    <x v="2"/>
    <x v="2"/>
    <x v="4"/>
    <x v="1"/>
    <n v="75.099999999999994"/>
    <n v="14"/>
    <n v="1051.4000000000001"/>
  </r>
  <r>
    <s v="S897"/>
    <x v="132"/>
    <x v="0"/>
    <x v="2"/>
    <x v="4"/>
    <x v="6"/>
    <x v="0"/>
    <n v="94.49"/>
    <n v="16"/>
    <n v="1511.84"/>
  </r>
  <r>
    <s v="S898"/>
    <x v="301"/>
    <x v="2"/>
    <x v="0"/>
    <x v="0"/>
    <x v="4"/>
    <x v="2"/>
    <n v="227.19"/>
    <n v="17"/>
    <n v="3862.23"/>
  </r>
  <r>
    <s v="S899"/>
    <x v="157"/>
    <x v="2"/>
    <x v="5"/>
    <x v="5"/>
    <x v="6"/>
    <x v="0"/>
    <n v="32.86"/>
    <n v="9"/>
    <n v="295.74"/>
  </r>
  <r>
    <s v="S900"/>
    <x v="29"/>
    <x v="0"/>
    <x v="2"/>
    <x v="0"/>
    <x v="6"/>
    <x v="1"/>
    <n v="48.81"/>
    <n v="6"/>
    <n v="292.86"/>
  </r>
  <r>
    <s v="S901"/>
    <x v="35"/>
    <x v="1"/>
    <x v="4"/>
    <x v="0"/>
    <x v="3"/>
    <x v="2"/>
    <n v="75.73"/>
    <n v="15"/>
    <n v="1135.95"/>
  </r>
  <r>
    <s v="S902"/>
    <x v="62"/>
    <x v="4"/>
    <x v="4"/>
    <x v="5"/>
    <x v="6"/>
    <x v="0"/>
    <n v="35.840000000000003"/>
    <n v="18"/>
    <n v="645.12"/>
  </r>
  <r>
    <s v="S903"/>
    <x v="101"/>
    <x v="3"/>
    <x v="5"/>
    <x v="1"/>
    <x v="2"/>
    <x v="1"/>
    <n v="69.92"/>
    <n v="20"/>
    <n v="1398.4"/>
  </r>
  <r>
    <s v="S904"/>
    <x v="71"/>
    <x v="4"/>
    <x v="4"/>
    <x v="0"/>
    <x v="2"/>
    <x v="1"/>
    <n v="158.27000000000001"/>
    <n v="6"/>
    <n v="949.62"/>
  </r>
  <r>
    <s v="S905"/>
    <x v="43"/>
    <x v="0"/>
    <x v="3"/>
    <x v="1"/>
    <x v="3"/>
    <x v="2"/>
    <n v="122.71"/>
    <n v="15"/>
    <n v="1840.65"/>
  </r>
  <r>
    <s v="S906"/>
    <x v="199"/>
    <x v="3"/>
    <x v="0"/>
    <x v="0"/>
    <x v="6"/>
    <x v="1"/>
    <n v="226.39"/>
    <n v="5"/>
    <n v="1131.95"/>
  </r>
  <r>
    <s v="S907"/>
    <x v="325"/>
    <x v="5"/>
    <x v="1"/>
    <x v="5"/>
    <x v="0"/>
    <x v="2"/>
    <n v="209.84"/>
    <n v="19"/>
    <n v="3986.96"/>
  </r>
  <r>
    <s v="S908"/>
    <x v="65"/>
    <x v="4"/>
    <x v="0"/>
    <x v="0"/>
    <x v="2"/>
    <x v="2"/>
    <n v="105.2"/>
    <n v="11"/>
    <n v="1157.2"/>
  </r>
  <r>
    <s v="S909"/>
    <x v="7"/>
    <x v="4"/>
    <x v="3"/>
    <x v="0"/>
    <x v="2"/>
    <x v="1"/>
    <n v="87.07"/>
    <n v="13"/>
    <n v="1131.9100000000001"/>
  </r>
  <r>
    <s v="S910"/>
    <x v="282"/>
    <x v="5"/>
    <x v="2"/>
    <x v="2"/>
    <x v="4"/>
    <x v="0"/>
    <n v="113.53"/>
    <n v="15"/>
    <n v="1702.95"/>
  </r>
  <r>
    <s v="S911"/>
    <x v="27"/>
    <x v="1"/>
    <x v="4"/>
    <x v="3"/>
    <x v="2"/>
    <x v="1"/>
    <n v="159.86000000000001"/>
    <n v="8"/>
    <n v="1278.8800000000001"/>
  </r>
  <r>
    <s v="S912"/>
    <x v="26"/>
    <x v="3"/>
    <x v="3"/>
    <x v="5"/>
    <x v="1"/>
    <x v="0"/>
    <n v="88.97"/>
    <n v="7"/>
    <n v="622.79"/>
  </r>
  <r>
    <s v="S913"/>
    <x v="78"/>
    <x v="0"/>
    <x v="1"/>
    <x v="4"/>
    <x v="5"/>
    <x v="0"/>
    <n v="167.31"/>
    <n v="18"/>
    <n v="3011.58"/>
  </r>
  <r>
    <s v="S914"/>
    <x v="321"/>
    <x v="2"/>
    <x v="2"/>
    <x v="5"/>
    <x v="2"/>
    <x v="2"/>
    <n v="120.07"/>
    <n v="9"/>
    <n v="1080.6300000000001"/>
  </r>
  <r>
    <s v="S915"/>
    <x v="73"/>
    <x v="3"/>
    <x v="0"/>
    <x v="0"/>
    <x v="6"/>
    <x v="1"/>
    <n v="151.44999999999999"/>
    <n v="8"/>
    <n v="1211.5999999999999"/>
  </r>
  <r>
    <s v="S916"/>
    <x v="27"/>
    <x v="2"/>
    <x v="2"/>
    <x v="5"/>
    <x v="1"/>
    <x v="1"/>
    <n v="125.95"/>
    <n v="5"/>
    <n v="629.75"/>
  </r>
  <r>
    <s v="S917"/>
    <x v="273"/>
    <x v="5"/>
    <x v="3"/>
    <x v="1"/>
    <x v="3"/>
    <x v="1"/>
    <n v="94.78"/>
    <n v="11"/>
    <n v="1042.58"/>
  </r>
  <r>
    <s v="S918"/>
    <x v="181"/>
    <x v="1"/>
    <x v="5"/>
    <x v="2"/>
    <x v="5"/>
    <x v="1"/>
    <n v="238.66"/>
    <n v="5"/>
    <n v="1193.3"/>
  </r>
  <r>
    <s v="S919"/>
    <x v="85"/>
    <x v="5"/>
    <x v="5"/>
    <x v="3"/>
    <x v="2"/>
    <x v="1"/>
    <n v="197.99"/>
    <n v="19"/>
    <n v="3761.81"/>
  </r>
  <r>
    <s v="S920"/>
    <x v="73"/>
    <x v="5"/>
    <x v="5"/>
    <x v="2"/>
    <x v="4"/>
    <x v="0"/>
    <n v="60.82"/>
    <n v="12"/>
    <n v="729.84"/>
  </r>
  <r>
    <s v="S921"/>
    <x v="58"/>
    <x v="4"/>
    <x v="3"/>
    <x v="0"/>
    <x v="0"/>
    <x v="2"/>
    <n v="221.06"/>
    <n v="10"/>
    <n v="2210.6"/>
  </r>
  <r>
    <s v="S922"/>
    <x v="114"/>
    <x v="2"/>
    <x v="2"/>
    <x v="0"/>
    <x v="3"/>
    <x v="2"/>
    <n v="137.22999999999999"/>
    <n v="1"/>
    <n v="137.22999999999999"/>
  </r>
  <r>
    <s v="S923"/>
    <x v="123"/>
    <x v="1"/>
    <x v="3"/>
    <x v="4"/>
    <x v="3"/>
    <x v="0"/>
    <n v="226.8"/>
    <n v="1"/>
    <n v="226.8"/>
  </r>
  <r>
    <s v="S924"/>
    <x v="223"/>
    <x v="2"/>
    <x v="2"/>
    <x v="5"/>
    <x v="5"/>
    <x v="2"/>
    <n v="205.97"/>
    <n v="10"/>
    <n v="2059.6999999999998"/>
  </r>
  <r>
    <s v="S925"/>
    <x v="311"/>
    <x v="2"/>
    <x v="3"/>
    <x v="4"/>
    <x v="0"/>
    <x v="0"/>
    <n v="123.55"/>
    <n v="14"/>
    <n v="1729.7"/>
  </r>
  <r>
    <s v="S926"/>
    <x v="203"/>
    <x v="5"/>
    <x v="2"/>
    <x v="0"/>
    <x v="1"/>
    <x v="2"/>
    <n v="34.94"/>
    <n v="13"/>
    <n v="454.22"/>
  </r>
  <r>
    <s v="S927"/>
    <x v="262"/>
    <x v="2"/>
    <x v="5"/>
    <x v="3"/>
    <x v="2"/>
    <x v="2"/>
    <n v="89.11"/>
    <n v="8"/>
    <n v="712.88"/>
  </r>
  <r>
    <s v="S928"/>
    <x v="289"/>
    <x v="4"/>
    <x v="3"/>
    <x v="2"/>
    <x v="4"/>
    <x v="0"/>
    <n v="149.16"/>
    <n v="18"/>
    <n v="2684.88"/>
  </r>
  <r>
    <s v="S929"/>
    <x v="38"/>
    <x v="4"/>
    <x v="1"/>
    <x v="3"/>
    <x v="6"/>
    <x v="1"/>
    <n v="169.37"/>
    <n v="5"/>
    <n v="846.85"/>
  </r>
  <r>
    <s v="S930"/>
    <x v="337"/>
    <x v="1"/>
    <x v="5"/>
    <x v="4"/>
    <x v="0"/>
    <x v="2"/>
    <n v="86.74"/>
    <n v="9"/>
    <n v="780.66"/>
  </r>
  <r>
    <s v="S931"/>
    <x v="193"/>
    <x v="0"/>
    <x v="5"/>
    <x v="5"/>
    <x v="0"/>
    <x v="0"/>
    <n v="60.66"/>
    <n v="5"/>
    <n v="303.3"/>
  </r>
  <r>
    <s v="S932"/>
    <x v="338"/>
    <x v="3"/>
    <x v="0"/>
    <x v="4"/>
    <x v="2"/>
    <x v="0"/>
    <n v="213.68"/>
    <n v="9"/>
    <n v="1923.12"/>
  </r>
  <r>
    <s v="S933"/>
    <x v="167"/>
    <x v="3"/>
    <x v="1"/>
    <x v="4"/>
    <x v="0"/>
    <x v="2"/>
    <n v="246.57"/>
    <n v="3"/>
    <n v="739.71"/>
  </r>
  <r>
    <s v="S934"/>
    <x v="108"/>
    <x v="5"/>
    <x v="4"/>
    <x v="4"/>
    <x v="2"/>
    <x v="0"/>
    <n v="145.65"/>
    <n v="10"/>
    <n v="1456.5"/>
  </r>
  <r>
    <s v="S935"/>
    <x v="92"/>
    <x v="3"/>
    <x v="1"/>
    <x v="0"/>
    <x v="4"/>
    <x v="2"/>
    <n v="67.77"/>
    <n v="3"/>
    <n v="203.31"/>
  </r>
  <r>
    <s v="S936"/>
    <x v="287"/>
    <x v="5"/>
    <x v="2"/>
    <x v="2"/>
    <x v="4"/>
    <x v="2"/>
    <n v="89.91"/>
    <n v="18"/>
    <n v="1618.38"/>
  </r>
  <r>
    <s v="S937"/>
    <x v="20"/>
    <x v="0"/>
    <x v="0"/>
    <x v="2"/>
    <x v="6"/>
    <x v="2"/>
    <n v="34.049999999999997"/>
    <n v="1"/>
    <n v="34.049999999999997"/>
  </r>
  <r>
    <s v="S938"/>
    <x v="102"/>
    <x v="3"/>
    <x v="3"/>
    <x v="3"/>
    <x v="4"/>
    <x v="0"/>
    <n v="231.15"/>
    <n v="2"/>
    <n v="462.3"/>
  </r>
  <r>
    <s v="S939"/>
    <x v="282"/>
    <x v="5"/>
    <x v="3"/>
    <x v="3"/>
    <x v="3"/>
    <x v="2"/>
    <n v="55.91"/>
    <n v="7"/>
    <n v="391.37"/>
  </r>
  <r>
    <s v="S940"/>
    <x v="5"/>
    <x v="1"/>
    <x v="5"/>
    <x v="1"/>
    <x v="1"/>
    <x v="2"/>
    <n v="156.83000000000001"/>
    <n v="2"/>
    <n v="313.66000000000003"/>
  </r>
  <r>
    <s v="S941"/>
    <x v="315"/>
    <x v="3"/>
    <x v="4"/>
    <x v="5"/>
    <x v="4"/>
    <x v="1"/>
    <n v="90.29"/>
    <n v="10"/>
    <n v="902.9"/>
  </r>
  <r>
    <s v="S942"/>
    <x v="314"/>
    <x v="3"/>
    <x v="0"/>
    <x v="4"/>
    <x v="3"/>
    <x v="0"/>
    <n v="151.91999999999999"/>
    <n v="4"/>
    <n v="607.67999999999995"/>
  </r>
  <r>
    <s v="S943"/>
    <x v="40"/>
    <x v="2"/>
    <x v="1"/>
    <x v="4"/>
    <x v="4"/>
    <x v="0"/>
    <n v="173.31"/>
    <n v="9"/>
    <n v="1559.79"/>
  </r>
  <r>
    <s v="S944"/>
    <x v="323"/>
    <x v="2"/>
    <x v="0"/>
    <x v="4"/>
    <x v="2"/>
    <x v="1"/>
    <n v="212.54"/>
    <n v="2"/>
    <n v="425.08"/>
  </r>
  <r>
    <s v="S945"/>
    <x v="334"/>
    <x v="0"/>
    <x v="2"/>
    <x v="2"/>
    <x v="6"/>
    <x v="0"/>
    <n v="75.41"/>
    <n v="12"/>
    <n v="904.92"/>
  </r>
  <r>
    <s v="S946"/>
    <x v="185"/>
    <x v="4"/>
    <x v="0"/>
    <x v="5"/>
    <x v="1"/>
    <x v="2"/>
    <n v="32.42"/>
    <n v="20"/>
    <n v="648.4"/>
  </r>
  <r>
    <s v="S947"/>
    <x v="203"/>
    <x v="1"/>
    <x v="5"/>
    <x v="5"/>
    <x v="0"/>
    <x v="2"/>
    <n v="60.11"/>
    <n v="5"/>
    <n v="300.55"/>
  </r>
  <r>
    <s v="S948"/>
    <x v="167"/>
    <x v="2"/>
    <x v="0"/>
    <x v="0"/>
    <x v="4"/>
    <x v="2"/>
    <n v="228"/>
    <n v="11"/>
    <n v="2508"/>
  </r>
  <r>
    <s v="S949"/>
    <x v="119"/>
    <x v="1"/>
    <x v="3"/>
    <x v="0"/>
    <x v="2"/>
    <x v="0"/>
    <n v="222.26"/>
    <n v="1"/>
    <n v="222.26"/>
  </r>
  <r>
    <s v="S950"/>
    <x v="56"/>
    <x v="5"/>
    <x v="0"/>
    <x v="4"/>
    <x v="5"/>
    <x v="2"/>
    <n v="161.43"/>
    <n v="2"/>
    <n v="322.86"/>
  </r>
  <r>
    <s v="S951"/>
    <x v="44"/>
    <x v="3"/>
    <x v="5"/>
    <x v="2"/>
    <x v="5"/>
    <x v="2"/>
    <n v="162.11000000000001"/>
    <n v="16"/>
    <n v="2593.7600000000002"/>
  </r>
  <r>
    <s v="S952"/>
    <x v="198"/>
    <x v="4"/>
    <x v="5"/>
    <x v="1"/>
    <x v="0"/>
    <x v="0"/>
    <n v="176.31"/>
    <n v="15"/>
    <n v="2644.65"/>
  </r>
  <r>
    <s v="S953"/>
    <x v="189"/>
    <x v="5"/>
    <x v="4"/>
    <x v="0"/>
    <x v="5"/>
    <x v="2"/>
    <n v="68.58"/>
    <n v="5"/>
    <n v="342.9"/>
  </r>
  <r>
    <s v="S954"/>
    <x v="131"/>
    <x v="1"/>
    <x v="5"/>
    <x v="4"/>
    <x v="2"/>
    <x v="0"/>
    <n v="231.17"/>
    <n v="1"/>
    <n v="231.17"/>
  </r>
  <r>
    <s v="S955"/>
    <x v="193"/>
    <x v="4"/>
    <x v="5"/>
    <x v="2"/>
    <x v="3"/>
    <x v="1"/>
    <n v="122.13"/>
    <n v="20"/>
    <n v="2442.6"/>
  </r>
  <r>
    <s v="S956"/>
    <x v="31"/>
    <x v="5"/>
    <x v="2"/>
    <x v="1"/>
    <x v="2"/>
    <x v="2"/>
    <n v="114.29"/>
    <n v="18"/>
    <n v="2057.2199999999998"/>
  </r>
  <r>
    <s v="S957"/>
    <x v="339"/>
    <x v="2"/>
    <x v="4"/>
    <x v="0"/>
    <x v="6"/>
    <x v="1"/>
    <n v="144.16"/>
    <n v="5"/>
    <n v="720.8"/>
  </r>
  <r>
    <s v="S958"/>
    <x v="77"/>
    <x v="0"/>
    <x v="5"/>
    <x v="3"/>
    <x v="1"/>
    <x v="0"/>
    <n v="40.33"/>
    <n v="4"/>
    <n v="161.32"/>
  </r>
  <r>
    <s v="S959"/>
    <x v="176"/>
    <x v="0"/>
    <x v="2"/>
    <x v="5"/>
    <x v="6"/>
    <x v="0"/>
    <n v="66.58"/>
    <n v="6"/>
    <n v="399.48"/>
  </r>
  <r>
    <s v="S960"/>
    <x v="39"/>
    <x v="2"/>
    <x v="0"/>
    <x v="4"/>
    <x v="2"/>
    <x v="2"/>
    <n v="192.37"/>
    <n v="2"/>
    <n v="384.74"/>
  </r>
  <r>
    <s v="S961"/>
    <x v="255"/>
    <x v="1"/>
    <x v="5"/>
    <x v="0"/>
    <x v="1"/>
    <x v="2"/>
    <n v="48.22"/>
    <n v="20"/>
    <n v="964.4"/>
  </r>
  <r>
    <s v="S962"/>
    <x v="168"/>
    <x v="1"/>
    <x v="1"/>
    <x v="5"/>
    <x v="0"/>
    <x v="1"/>
    <n v="162.69"/>
    <n v="20"/>
    <n v="3253.8"/>
  </r>
  <r>
    <s v="S963"/>
    <x v="116"/>
    <x v="5"/>
    <x v="0"/>
    <x v="5"/>
    <x v="3"/>
    <x v="1"/>
    <n v="83.98"/>
    <n v="3"/>
    <n v="251.94"/>
  </r>
  <r>
    <s v="S964"/>
    <x v="172"/>
    <x v="1"/>
    <x v="1"/>
    <x v="1"/>
    <x v="3"/>
    <x v="1"/>
    <n v="115.65"/>
    <n v="12"/>
    <n v="1387.8"/>
  </r>
  <r>
    <s v="S965"/>
    <x v="300"/>
    <x v="4"/>
    <x v="1"/>
    <x v="2"/>
    <x v="5"/>
    <x v="0"/>
    <n v="93.51"/>
    <n v="3"/>
    <n v="280.52999999999997"/>
  </r>
  <r>
    <s v="S966"/>
    <x v="210"/>
    <x v="2"/>
    <x v="3"/>
    <x v="2"/>
    <x v="0"/>
    <x v="1"/>
    <n v="108.25"/>
    <n v="8"/>
    <n v="866"/>
  </r>
  <r>
    <s v="S967"/>
    <x v="139"/>
    <x v="2"/>
    <x v="0"/>
    <x v="2"/>
    <x v="5"/>
    <x v="1"/>
    <n v="188.19"/>
    <n v="8"/>
    <n v="1505.52"/>
  </r>
  <r>
    <s v="S968"/>
    <x v="14"/>
    <x v="1"/>
    <x v="1"/>
    <x v="3"/>
    <x v="5"/>
    <x v="2"/>
    <n v="95.37"/>
    <n v="14"/>
    <n v="1335.18"/>
  </r>
  <r>
    <s v="S969"/>
    <x v="151"/>
    <x v="1"/>
    <x v="0"/>
    <x v="4"/>
    <x v="1"/>
    <x v="0"/>
    <n v="154.61000000000001"/>
    <n v="15"/>
    <n v="2319.15"/>
  </r>
  <r>
    <s v="S970"/>
    <x v="212"/>
    <x v="5"/>
    <x v="5"/>
    <x v="0"/>
    <x v="2"/>
    <x v="0"/>
    <n v="134.72999999999999"/>
    <n v="18"/>
    <n v="2425.14"/>
  </r>
  <r>
    <s v="S971"/>
    <x v="123"/>
    <x v="5"/>
    <x v="4"/>
    <x v="0"/>
    <x v="5"/>
    <x v="2"/>
    <n v="176.01"/>
    <n v="20"/>
    <n v="3520.2"/>
  </r>
  <r>
    <s v="S972"/>
    <x v="295"/>
    <x v="1"/>
    <x v="3"/>
    <x v="3"/>
    <x v="3"/>
    <x v="1"/>
    <n v="236.1"/>
    <n v="14"/>
    <n v="3305.4"/>
  </r>
  <r>
    <s v="S973"/>
    <x v="155"/>
    <x v="2"/>
    <x v="2"/>
    <x v="4"/>
    <x v="4"/>
    <x v="1"/>
    <n v="191.17"/>
    <n v="19"/>
    <n v="3632.23"/>
  </r>
  <r>
    <s v="S974"/>
    <x v="156"/>
    <x v="5"/>
    <x v="3"/>
    <x v="4"/>
    <x v="1"/>
    <x v="1"/>
    <n v="77.290000000000006"/>
    <n v="12"/>
    <n v="927.48"/>
  </r>
  <r>
    <s v="S975"/>
    <x v="308"/>
    <x v="2"/>
    <x v="1"/>
    <x v="1"/>
    <x v="0"/>
    <x v="2"/>
    <n v="36.86"/>
    <n v="10"/>
    <n v="368.6"/>
  </r>
  <r>
    <s v="S976"/>
    <x v="94"/>
    <x v="3"/>
    <x v="2"/>
    <x v="0"/>
    <x v="1"/>
    <x v="1"/>
    <n v="87.7"/>
    <n v="10"/>
    <n v="877"/>
  </r>
  <r>
    <s v="S977"/>
    <x v="173"/>
    <x v="2"/>
    <x v="5"/>
    <x v="1"/>
    <x v="5"/>
    <x v="0"/>
    <n v="160.91999999999999"/>
    <n v="18"/>
    <n v="2896.56"/>
  </r>
  <r>
    <s v="S978"/>
    <x v="340"/>
    <x v="5"/>
    <x v="4"/>
    <x v="2"/>
    <x v="0"/>
    <x v="2"/>
    <n v="41.31"/>
    <n v="2"/>
    <n v="82.62"/>
  </r>
  <r>
    <s v="S979"/>
    <x v="237"/>
    <x v="3"/>
    <x v="2"/>
    <x v="0"/>
    <x v="4"/>
    <x v="2"/>
    <n v="139.19999999999999"/>
    <n v="19"/>
    <n v="2644.8"/>
  </r>
  <r>
    <s v="S980"/>
    <x v="143"/>
    <x v="5"/>
    <x v="5"/>
    <x v="2"/>
    <x v="2"/>
    <x v="0"/>
    <n v="161.31"/>
    <n v="19"/>
    <n v="3064.89"/>
  </r>
  <r>
    <s v="S981"/>
    <x v="182"/>
    <x v="3"/>
    <x v="3"/>
    <x v="3"/>
    <x v="2"/>
    <x v="1"/>
    <n v="103.53"/>
    <n v="16"/>
    <n v="1656.48"/>
  </r>
  <r>
    <s v="S982"/>
    <x v="340"/>
    <x v="1"/>
    <x v="4"/>
    <x v="5"/>
    <x v="2"/>
    <x v="1"/>
    <n v="199.6"/>
    <n v="20"/>
    <n v="3992"/>
  </r>
  <r>
    <s v="S983"/>
    <x v="20"/>
    <x v="0"/>
    <x v="4"/>
    <x v="0"/>
    <x v="4"/>
    <x v="2"/>
    <n v="53.45"/>
    <n v="3"/>
    <n v="160.35"/>
  </r>
  <r>
    <s v="S984"/>
    <x v="232"/>
    <x v="3"/>
    <x v="0"/>
    <x v="3"/>
    <x v="4"/>
    <x v="1"/>
    <n v="46.53"/>
    <n v="4"/>
    <n v="186.12"/>
  </r>
  <r>
    <s v="S985"/>
    <x v="114"/>
    <x v="0"/>
    <x v="4"/>
    <x v="1"/>
    <x v="1"/>
    <x v="2"/>
    <n v="190.2"/>
    <n v="13"/>
    <n v="2472.6"/>
  </r>
  <r>
    <s v="S986"/>
    <x v="24"/>
    <x v="3"/>
    <x v="4"/>
    <x v="1"/>
    <x v="2"/>
    <x v="0"/>
    <n v="139.01"/>
    <n v="19"/>
    <n v="2641.19"/>
  </r>
  <r>
    <s v="S987"/>
    <x v="19"/>
    <x v="1"/>
    <x v="0"/>
    <x v="4"/>
    <x v="6"/>
    <x v="1"/>
    <n v="181.45"/>
    <n v="2"/>
    <n v="362.9"/>
  </r>
  <r>
    <s v="S988"/>
    <x v="260"/>
    <x v="0"/>
    <x v="2"/>
    <x v="4"/>
    <x v="3"/>
    <x v="2"/>
    <n v="125.66"/>
    <n v="17"/>
    <n v="2136.2199999999998"/>
  </r>
  <r>
    <s v="S989"/>
    <x v="60"/>
    <x v="4"/>
    <x v="1"/>
    <x v="4"/>
    <x v="5"/>
    <x v="1"/>
    <n v="84.21"/>
    <n v="5"/>
    <n v="421.05"/>
  </r>
  <r>
    <s v="S990"/>
    <x v="160"/>
    <x v="5"/>
    <x v="4"/>
    <x v="5"/>
    <x v="6"/>
    <x v="1"/>
    <n v="210.2"/>
    <n v="18"/>
    <n v="3783.6"/>
  </r>
  <r>
    <s v="S991"/>
    <x v="292"/>
    <x v="3"/>
    <x v="3"/>
    <x v="1"/>
    <x v="0"/>
    <x v="2"/>
    <n v="205.87"/>
    <n v="5"/>
    <n v="1029.3499999999999"/>
  </r>
  <r>
    <s v="S992"/>
    <x v="159"/>
    <x v="3"/>
    <x v="5"/>
    <x v="1"/>
    <x v="2"/>
    <x v="1"/>
    <n v="182.83"/>
    <n v="19"/>
    <n v="3473.77"/>
  </r>
  <r>
    <s v="S993"/>
    <x v="102"/>
    <x v="0"/>
    <x v="4"/>
    <x v="4"/>
    <x v="3"/>
    <x v="1"/>
    <n v="89.87"/>
    <n v="8"/>
    <n v="718.96"/>
  </r>
  <r>
    <s v="S994"/>
    <x v="260"/>
    <x v="0"/>
    <x v="0"/>
    <x v="4"/>
    <x v="6"/>
    <x v="2"/>
    <n v="159.85"/>
    <n v="3"/>
    <n v="479.55"/>
  </r>
  <r>
    <s v="S995"/>
    <x v="196"/>
    <x v="4"/>
    <x v="4"/>
    <x v="1"/>
    <x v="2"/>
    <x v="0"/>
    <n v="109.41"/>
    <n v="7"/>
    <n v="765.87"/>
  </r>
  <r>
    <s v="S996"/>
    <x v="341"/>
    <x v="4"/>
    <x v="5"/>
    <x v="4"/>
    <x v="5"/>
    <x v="0"/>
    <n v="50.15"/>
    <n v="6"/>
    <n v="300.89999999999998"/>
  </r>
  <r>
    <s v="S997"/>
    <x v="89"/>
    <x v="3"/>
    <x v="2"/>
    <x v="3"/>
    <x v="3"/>
    <x v="0"/>
    <n v="231.81"/>
    <n v="2"/>
    <n v="463.62"/>
  </r>
  <r>
    <s v="S998"/>
    <x v="275"/>
    <x v="1"/>
    <x v="1"/>
    <x v="2"/>
    <x v="5"/>
    <x v="0"/>
    <n v="60.1"/>
    <n v="4"/>
    <n v="240.4"/>
  </r>
  <r>
    <s v="S999"/>
    <x v="138"/>
    <x v="4"/>
    <x v="0"/>
    <x v="5"/>
    <x v="3"/>
    <x v="2"/>
    <n v="239.05"/>
    <n v="1"/>
    <n v="239.05"/>
  </r>
  <r>
    <s v="S1000"/>
    <x v="145"/>
    <x v="4"/>
    <x v="2"/>
    <x v="3"/>
    <x v="5"/>
    <x v="0"/>
    <n v="128.12"/>
    <n v="1"/>
    <n v="128.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Transaction"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T2:T3" firstHeaderRow="1" firstDataRow="1" firstDataCol="0"/>
  <pivotFields count="11">
    <pivotField dataField="1" showAll="0"/>
    <pivotField numFmtId="14" showAll="0">
      <items count="15">
        <item h="1" x="0"/>
        <item h="1" x="1"/>
        <item h="1" x="2"/>
        <item h="1" x="3"/>
        <item h="1" x="4"/>
        <item h="1" x="5"/>
        <item h="1" x="6"/>
        <item h="1" x="7"/>
        <item h="1" x="8"/>
        <item x="9"/>
        <item h="1" x="10"/>
        <item h="1" x="11"/>
        <item h="1" x="12"/>
        <item h="1"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numFmtId="2" showAll="0"/>
    <pivotField dragToRow="0" dragToCol="0" dragToPage="0" showAll="0" defaultSubtotal="0"/>
  </pivotFields>
  <rowItems count="1">
    <i/>
  </rowItems>
  <colItems count="1">
    <i/>
  </colItems>
  <dataFields count="1">
    <dataField name="Total Transaction" fld="0" subtotal="count" baseField="0" baseItem="0"/>
  </dataFields>
  <formats count="37">
    <format dxfId="1505">
      <pivotArea dataOnly="0" labelOnly="1" outline="0" axis="axisValues" fieldPosition="0"/>
    </format>
    <format dxfId="1506">
      <pivotArea outline="0" collapsedLevelsAreSubtotals="1" fieldPosition="0"/>
    </format>
    <format dxfId="1507">
      <pivotArea dataOnly="0" labelOnly="1" outline="0" axis="axisValues" fieldPosition="0"/>
    </format>
    <format dxfId="1508">
      <pivotArea dataOnly="0" labelOnly="1" outline="0" axis="axisValues" fieldPosition="0"/>
    </format>
    <format dxfId="1509">
      <pivotArea outline="0" collapsedLevelsAreSubtotals="1" fieldPosition="0"/>
    </format>
    <format dxfId="1510">
      <pivotArea outline="0" collapsedLevelsAreSubtotals="1" fieldPosition="0"/>
    </format>
    <format dxfId="1511">
      <pivotArea outline="0" collapsedLevelsAreSubtotals="1" fieldPosition="0"/>
    </format>
    <format dxfId="1512">
      <pivotArea outline="0" collapsedLevelsAreSubtotals="1" fieldPosition="0"/>
    </format>
    <format dxfId="1513">
      <pivotArea outline="0" collapsedLevelsAreSubtotals="1" fieldPosition="0"/>
    </format>
    <format dxfId="1514">
      <pivotArea type="all" dataOnly="0" outline="0" fieldPosition="0"/>
    </format>
    <format dxfId="1515">
      <pivotArea outline="0" collapsedLevelsAreSubtotals="1" fieldPosition="0"/>
    </format>
    <format dxfId="1516">
      <pivotArea outline="0" collapsedLevelsAreSubtotals="1" fieldPosition="0"/>
    </format>
    <format dxfId="1517">
      <pivotArea dataOnly="0" labelOnly="1" outline="0" axis="axisValues" fieldPosition="0"/>
    </format>
    <format dxfId="1518">
      <pivotArea type="all" dataOnly="0" outline="0" fieldPosition="0"/>
    </format>
    <format dxfId="1519">
      <pivotArea dataOnly="0" labelOnly="1" outline="0" axis="axisValues" fieldPosition="0"/>
    </format>
    <format dxfId="1520">
      <pivotArea dataOnly="0" labelOnly="1" outline="0" axis="axisValues" fieldPosition="0"/>
    </format>
    <format dxfId="1521">
      <pivotArea dataOnly="0" labelOnly="1" outline="0" axis="axisValues" fieldPosition="0"/>
    </format>
    <format dxfId="1522">
      <pivotArea type="all" dataOnly="0" outline="0" fieldPosition="0"/>
    </format>
    <format dxfId="1523">
      <pivotArea dataOnly="0" labelOnly="1" outline="0" axis="axisValues" fieldPosition="0"/>
    </format>
    <format dxfId="1524">
      <pivotArea type="all" dataOnly="0" outline="0" fieldPosition="0"/>
    </format>
    <format dxfId="1525">
      <pivotArea type="all" dataOnly="0" outline="0" fieldPosition="0"/>
    </format>
    <format dxfId="1526">
      <pivotArea type="all" dataOnly="0" outline="0" fieldPosition="0"/>
    </format>
    <format dxfId="1527">
      <pivotArea type="all" dataOnly="0" outline="0" fieldPosition="0"/>
    </format>
    <format dxfId="1528">
      <pivotArea type="all" dataOnly="0" outline="0" fieldPosition="0"/>
    </format>
    <format dxfId="1529">
      <pivotArea outline="0" collapsedLevelsAreSubtotals="1" fieldPosition="0"/>
    </format>
    <format dxfId="1530">
      <pivotArea dataOnly="0" labelOnly="1" outline="0" axis="axisValues" fieldPosition="0"/>
    </format>
    <format dxfId="1531">
      <pivotArea dataOnly="0" labelOnly="1" outline="0" axis="axisValues" fieldPosition="0"/>
    </format>
    <format dxfId="1532">
      <pivotArea dataOnly="0" labelOnly="1" outline="0" axis="axisValues" fieldPosition="0"/>
    </format>
    <format dxfId="1533">
      <pivotArea dataOnly="0" labelOnly="1" outline="0" axis="axisValues" fieldPosition="0"/>
    </format>
    <format dxfId="1534">
      <pivotArea type="all" dataOnly="0" outline="0" fieldPosition="0"/>
    </format>
    <format dxfId="1535">
      <pivotArea dataOnly="0" labelOnly="1" outline="0" axis="axisValues" fieldPosition="0"/>
    </format>
    <format dxfId="1536">
      <pivotArea dataOnly="0" labelOnly="1" outline="0" axis="axisValues" fieldPosition="0"/>
    </format>
    <format dxfId="1537">
      <pivotArea type="all" dataOnly="0" outline="0" fieldPosition="0"/>
    </format>
    <format dxfId="1538">
      <pivotArea dataOnly="0" labelOnly="1" outline="0" axis="axisValues" fieldPosition="0"/>
    </format>
    <format dxfId="1539">
      <pivotArea outline="0" collapsedLevelsAreSubtotals="1" fieldPosition="0"/>
    </format>
    <format dxfId="1540">
      <pivotArea type="all" dataOnly="0" outline="0" fieldPosition="0"/>
    </format>
    <format dxfId="1541">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AVG Revenue"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P2:P3" firstHeaderRow="1" firstDataRow="1" firstDataCol="0"/>
  <pivotFields count="11">
    <pivotField showAll="0"/>
    <pivotField numFmtId="14" showAll="0">
      <items count="15">
        <item h="1" x="0"/>
        <item h="1" x="1"/>
        <item h="1" x="2"/>
        <item h="1" x="3"/>
        <item h="1" x="4"/>
        <item h="1" x="5"/>
        <item h="1" x="6"/>
        <item h="1" x="7"/>
        <item h="1" x="8"/>
        <item x="9"/>
        <item h="1" x="10"/>
        <item h="1" x="11"/>
        <item h="1" x="12"/>
        <item h="1"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numFmtId="2" showAll="0"/>
    <pivotField dataField="1" dragToRow="0" dragToCol="0" dragToPage="0" showAll="0" defaultSubtotal="0"/>
  </pivotFields>
  <rowItems count="1">
    <i/>
  </rowItems>
  <colItems count="1">
    <i/>
  </colItems>
  <dataFields count="1">
    <dataField name="AVG Revenue" fld="10" baseField="0" baseItem="0" numFmtId="2"/>
  </dataFields>
  <formats count="38">
    <format dxfId="1630">
      <pivotArea dataOnly="0" labelOnly="1" outline="0" axis="axisValues" fieldPosition="0"/>
    </format>
    <format dxfId="1631">
      <pivotArea dataOnly="0" labelOnly="1" outline="0" axis="axisValues" fieldPosition="0"/>
    </format>
    <format dxfId="1632">
      <pivotArea dataOnly="0" labelOnly="1" outline="0" axis="axisValues" fieldPosition="0"/>
    </format>
    <format dxfId="1633">
      <pivotArea dataOnly="0" labelOnly="1" outline="0" axis="axisValues" fieldPosition="0"/>
    </format>
    <format dxfId="1634">
      <pivotArea outline="0" collapsedLevelsAreSubtotals="1" fieldPosition="0"/>
    </format>
    <format dxfId="1635">
      <pivotArea outline="0" collapsedLevelsAreSubtotals="1" fieldPosition="0"/>
    </format>
    <format dxfId="1636">
      <pivotArea outline="0" collapsedLevelsAreSubtotals="1" fieldPosition="0"/>
    </format>
    <format dxfId="1637">
      <pivotArea outline="0" collapsedLevelsAreSubtotals="1" fieldPosition="0"/>
    </format>
    <format dxfId="1638">
      <pivotArea outline="0" collapsedLevelsAreSubtotals="1" fieldPosition="0"/>
    </format>
    <format dxfId="1639">
      <pivotArea outline="0" collapsedLevelsAreSubtotals="1" fieldPosition="0"/>
    </format>
    <format dxfId="1640">
      <pivotArea outline="0" collapsedLevelsAreSubtotals="1" fieldPosition="0"/>
    </format>
    <format dxfId="1641">
      <pivotArea outline="0" collapsedLevelsAreSubtotals="1" fieldPosition="0"/>
    </format>
    <format dxfId="1642">
      <pivotArea type="all" dataOnly="0" outline="0" fieldPosition="0"/>
    </format>
    <format dxfId="1643">
      <pivotArea outline="0" collapsedLevelsAreSubtotals="1" fieldPosition="0"/>
    </format>
    <format dxfId="1644">
      <pivotArea dataOnly="0" labelOnly="1" outline="0" axis="axisValues" fieldPosition="0"/>
    </format>
    <format dxfId="1645">
      <pivotArea dataOnly="0" labelOnly="1" outline="0" axis="axisValues" fieldPosition="0"/>
    </format>
    <format dxfId="1646">
      <pivotArea type="all" dataOnly="0" outline="0" fieldPosition="0"/>
    </format>
    <format dxfId="1647">
      <pivotArea dataOnly="0" labelOnly="1" outline="0" axis="axisValues" fieldPosition="0"/>
    </format>
    <format dxfId="1648">
      <pivotArea dataOnly="0" labelOnly="1" outline="0" axis="axisValues" fieldPosition="0"/>
    </format>
    <format dxfId="1649">
      <pivotArea outline="0" collapsedLevelsAreSubtotals="1" fieldPosition="0"/>
    </format>
    <format dxfId="1650">
      <pivotArea type="all" dataOnly="0" outline="0" fieldPosition="0"/>
    </format>
    <format dxfId="1651">
      <pivotArea dataOnly="0" labelOnly="1" outline="0" axis="axisValues" fieldPosition="0"/>
    </format>
    <format dxfId="1652">
      <pivotArea type="all" dataOnly="0" outline="0" fieldPosition="0"/>
    </format>
    <format dxfId="1653">
      <pivotArea type="all" dataOnly="0" outline="0" fieldPosition="0"/>
    </format>
    <format dxfId="1654">
      <pivotArea type="all" dataOnly="0" outline="0" fieldPosition="0"/>
    </format>
    <format dxfId="1655">
      <pivotArea type="all" dataOnly="0" outline="0" fieldPosition="0"/>
    </format>
    <format dxfId="1656">
      <pivotArea type="all" dataOnly="0" outline="0" fieldPosition="0"/>
    </format>
    <format dxfId="1657">
      <pivotArea dataOnly="0" labelOnly="1" outline="0" axis="axisValues" fieldPosition="0"/>
    </format>
    <format dxfId="1658">
      <pivotArea outline="0" collapsedLevelsAreSubtotals="1" fieldPosition="0"/>
    </format>
    <format dxfId="1659">
      <pivotArea dataOnly="0" labelOnly="1" outline="0" axis="axisValues" fieldPosition="0"/>
    </format>
    <format dxfId="1660">
      <pivotArea dataOnly="0" labelOnly="1" outline="0" axis="axisValues" fieldPosition="0"/>
    </format>
    <format dxfId="1661">
      <pivotArea type="all" dataOnly="0" outline="0" fieldPosition="0"/>
    </format>
    <format dxfId="1662">
      <pivotArea dataOnly="0" labelOnly="1" outline="0" axis="axisValues" fieldPosition="0"/>
    </format>
    <format dxfId="1663">
      <pivotArea type="all" dataOnly="0" outline="0" fieldPosition="0"/>
    </format>
    <format dxfId="1664">
      <pivotArea dataOnly="0" labelOnly="1" outline="0" axis="axisValues" fieldPosition="0"/>
    </format>
    <format dxfId="1665">
      <pivotArea outline="0" collapsedLevelsAreSubtotals="1" fieldPosition="0"/>
    </format>
    <format dxfId="1666">
      <pivotArea type="all" dataOnly="0" outline="0" fieldPosition="0"/>
    </format>
    <format dxfId="1667">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Revenue"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N2:N3" firstHeaderRow="1" firstDataRow="1" firstDataCol="0"/>
  <pivotFields count="11">
    <pivotField showAll="0"/>
    <pivotField numFmtId="14" showAll="0">
      <items count="15">
        <item h="1" x="0"/>
        <item h="1" x="1"/>
        <item h="1" x="2"/>
        <item h="1" x="3"/>
        <item h="1" x="4"/>
        <item h="1" x="5"/>
        <item h="1" x="6"/>
        <item h="1" x="7"/>
        <item h="1" x="8"/>
        <item x="9"/>
        <item h="1" x="10"/>
        <item h="1" x="11"/>
        <item h="1" x="12"/>
        <item h="1"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Items count="1">
    <i/>
  </rowItems>
  <colItems count="1">
    <i/>
  </colItems>
  <dataFields count="1">
    <dataField name="Total Revenue" fld="9" baseField="0" baseItem="0" numFmtId="164"/>
  </dataFields>
  <formats count="53">
    <format dxfId="1577">
      <pivotArea dataOnly="0" labelOnly="1" outline="0" axis="axisValues" fieldPosition="0"/>
    </format>
    <format dxfId="1578">
      <pivotArea outline="0" collapsedLevelsAreSubtotals="1" fieldPosition="0"/>
    </format>
    <format dxfId="1579">
      <pivotArea outline="0" collapsedLevelsAreSubtotals="1" fieldPosition="0"/>
    </format>
    <format dxfId="1580">
      <pivotArea dataOnly="0" labelOnly="1" outline="0" axis="axisValues" fieldPosition="0"/>
    </format>
    <format dxfId="1581">
      <pivotArea dataOnly="0" labelOnly="1" outline="0" axis="axisValues" fieldPosition="0"/>
    </format>
    <format dxfId="1582">
      <pivotArea dataOnly="0" labelOnly="1" outline="0" axis="axisValues" fieldPosition="0"/>
    </format>
    <format dxfId="1583">
      <pivotArea dataOnly="0" labelOnly="1" outline="0" axis="axisValues" fieldPosition="0"/>
    </format>
    <format dxfId="1584">
      <pivotArea outline="0" collapsedLevelsAreSubtotals="1" fieldPosition="0"/>
    </format>
    <format dxfId="1585">
      <pivotArea outline="0" collapsedLevelsAreSubtotals="1" fieldPosition="0"/>
    </format>
    <format dxfId="1586">
      <pivotArea outline="0" collapsedLevelsAreSubtotals="1" fieldPosition="0"/>
    </format>
    <format dxfId="1587">
      <pivotArea outline="0" collapsedLevelsAreSubtotals="1" fieldPosition="0"/>
    </format>
    <format dxfId="1588">
      <pivotArea outline="0" collapsedLevelsAreSubtotals="1" fieldPosition="0"/>
    </format>
    <format dxfId="1589">
      <pivotArea outline="0" collapsedLevelsAreSubtotals="1" fieldPosition="0"/>
    </format>
    <format dxfId="1590">
      <pivotArea dataOnly="0" labelOnly="1" outline="0" axis="axisValues" fieldPosition="0"/>
    </format>
    <format dxfId="1591">
      <pivotArea outline="0" collapsedLevelsAreSubtotals="1" fieldPosition="0"/>
    </format>
    <format dxfId="1592">
      <pivotArea outline="0" collapsedLevelsAreSubtotals="1" fieldPosition="0"/>
    </format>
    <format dxfId="1593">
      <pivotArea outline="0" collapsedLevelsAreSubtotals="1" fieldPosition="0"/>
    </format>
    <format dxfId="1594">
      <pivotArea dataOnly="0" labelOnly="1" outline="0" axis="axisValues" fieldPosition="0"/>
    </format>
    <format dxfId="1595">
      <pivotArea type="all" dataOnly="0" outline="0" fieldPosition="0"/>
    </format>
    <format dxfId="1596">
      <pivotArea dataOnly="0" labelOnly="1" outline="0" axis="axisValues" fieldPosition="0"/>
    </format>
    <format dxfId="1597">
      <pivotArea dataOnly="0" labelOnly="1" outline="0" axis="axisValues" fieldPosition="0"/>
    </format>
    <format dxfId="1598">
      <pivotArea outline="0" collapsedLevelsAreSubtotals="1" fieldPosition="0"/>
    </format>
    <format dxfId="1599">
      <pivotArea dataOnly="0" labelOnly="1" outline="0" axis="axisValues" fieldPosition="0"/>
    </format>
    <format dxfId="1600">
      <pivotArea dataOnly="0" labelOnly="1" outline="0" axis="axisValues" fieldPosition="0"/>
    </format>
    <format dxfId="1601">
      <pivotArea type="all" dataOnly="0" outline="0" fieldPosition="0"/>
    </format>
    <format dxfId="1602">
      <pivotArea dataOnly="0" labelOnly="1" outline="0" axis="axisValues" fieldPosition="0"/>
    </format>
    <format dxfId="1603">
      <pivotArea dataOnly="0" labelOnly="1" outline="0" axis="axisValues" fieldPosition="0"/>
    </format>
    <format dxfId="1604">
      <pivotArea dataOnly="0" labelOnly="1" outline="0" axis="axisValues" fieldPosition="0"/>
    </format>
    <format dxfId="1605">
      <pivotArea dataOnly="0" labelOnly="1" outline="0" axis="axisValues" fieldPosition="0"/>
    </format>
    <format dxfId="1606">
      <pivotArea type="all" dataOnly="0" outline="0" fieldPosition="0"/>
    </format>
    <format dxfId="1607">
      <pivotArea type="all" dataOnly="0" outline="0" fieldPosition="0"/>
    </format>
    <format dxfId="1608">
      <pivotArea type="all" dataOnly="0" outline="0" fieldPosition="0"/>
    </format>
    <format dxfId="1609">
      <pivotArea type="all" dataOnly="0" outline="0" fieldPosition="0"/>
    </format>
    <format dxfId="1610">
      <pivotArea type="all" dataOnly="0" outline="0" fieldPosition="0"/>
    </format>
    <format dxfId="1611">
      <pivotArea type="all" dataOnly="0" outline="0" fieldPosition="0"/>
    </format>
    <format dxfId="1612">
      <pivotArea dataOnly="0" labelOnly="1" outline="0" axis="axisValues" fieldPosition="0"/>
    </format>
    <format dxfId="1613">
      <pivotArea dataOnly="0" labelOnly="1" outline="0" axis="axisValues" fieldPosition="0"/>
    </format>
    <format dxfId="1614">
      <pivotArea dataOnly="0" labelOnly="1" outline="0" axis="axisValues" fieldPosition="0"/>
    </format>
    <format dxfId="1615">
      <pivotArea dataOnly="0" labelOnly="1" outline="0" axis="axisValues" fieldPosition="0"/>
    </format>
    <format dxfId="1616">
      <pivotArea type="all" dataOnly="0" outline="0" fieldPosition="0"/>
    </format>
    <format dxfId="1617">
      <pivotArea outline="0" collapsedLevelsAreSubtotals="1" fieldPosition="0"/>
    </format>
    <format dxfId="1618">
      <pivotArea dataOnly="0" labelOnly="1" outline="0" axis="axisValues" fieldPosition="0"/>
    </format>
    <format dxfId="1619">
      <pivotArea dataOnly="0" labelOnly="1" outline="0" axis="axisValues" fieldPosition="0"/>
    </format>
    <format dxfId="1620">
      <pivotArea type="all" dataOnly="0" outline="0" fieldPosition="0"/>
    </format>
    <format dxfId="1621">
      <pivotArea dataOnly="0" labelOnly="1" outline="0" axis="axisValues" fieldPosition="0"/>
    </format>
    <format dxfId="1622">
      <pivotArea type="all" dataOnly="0" outline="0" fieldPosition="0"/>
    </format>
    <format dxfId="1623">
      <pivotArea dataOnly="0" labelOnly="1" outline="0" axis="axisValues" fieldPosition="0"/>
    </format>
    <format dxfId="1624">
      <pivotArea dataOnly="0" labelOnly="1" outline="0" axis="axisValues" fieldPosition="0"/>
    </format>
    <format dxfId="1625">
      <pivotArea type="all" dataOnly="0" outline="0" fieldPosition="0"/>
    </format>
    <format dxfId="1626">
      <pivotArea outline="0" collapsedLevelsAreSubtotals="1" fieldPosition="0"/>
    </format>
    <format dxfId="1627">
      <pivotArea dataOnly="0" labelOnly="1" outline="0" axis="axisValues" fieldPosition="0"/>
    </format>
    <format dxfId="1628">
      <pivotArea type="all" dataOnly="0" outline="0" fieldPosition="0"/>
    </format>
    <format dxfId="1629">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Sold"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V2:V3" firstHeaderRow="1" firstDataRow="1" firstDataCol="0"/>
  <pivotFields count="11">
    <pivotField showAll="0"/>
    <pivotField numFmtId="14" showAll="0">
      <items count="15">
        <item h="1" x="0"/>
        <item h="1" x="1"/>
        <item h="1" x="2"/>
        <item h="1" x="3"/>
        <item h="1" x="4"/>
        <item h="1" x="5"/>
        <item h="1" x="6"/>
        <item h="1" x="7"/>
        <item h="1" x="8"/>
        <item x="9"/>
        <item h="1" x="10"/>
        <item h="1" x="11"/>
        <item h="1" x="12"/>
        <item h="1"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s>
  <rowItems count="1">
    <i/>
  </rowItems>
  <colItems count="1">
    <i/>
  </colItems>
  <dataFields count="1">
    <dataField name="Total Sold (Pcs)" fld="8" baseField="0" baseItem="0"/>
  </dataFields>
  <formats count="35">
    <format dxfId="1542">
      <pivotArea dataOnly="0" labelOnly="1" outline="0" axis="axisValues" fieldPosition="0"/>
    </format>
    <format dxfId="1543">
      <pivotArea dataOnly="0" labelOnly="1" outline="0" axis="axisValues" fieldPosition="0"/>
    </format>
    <format dxfId="1544">
      <pivotArea dataOnly="0" labelOnly="1" outline="0" axis="axisValues" fieldPosition="0"/>
    </format>
    <format dxfId="1545">
      <pivotArea outline="0" collapsedLevelsAreSubtotals="1" fieldPosition="0"/>
    </format>
    <format dxfId="1546">
      <pivotArea outline="0" collapsedLevelsAreSubtotals="1" fieldPosition="0"/>
    </format>
    <format dxfId="1547">
      <pivotArea outline="0" collapsedLevelsAreSubtotals="1" fieldPosition="0"/>
    </format>
    <format dxfId="1548">
      <pivotArea outline="0" collapsedLevelsAreSubtotals="1" fieldPosition="0"/>
    </format>
    <format dxfId="1549">
      <pivotArea outline="0" collapsedLevelsAreSubtotals="1" fieldPosition="0"/>
    </format>
    <format dxfId="1550">
      <pivotArea outline="0" collapsedLevelsAreSubtotals="1" fieldPosition="0"/>
    </format>
    <format dxfId="1551">
      <pivotArea type="all" dataOnly="0" outline="0" fieldPosition="0"/>
    </format>
    <format dxfId="1552">
      <pivotArea outline="0" collapsedLevelsAreSubtotals="1" fieldPosition="0"/>
    </format>
    <format dxfId="1553">
      <pivotArea dataOnly="0" labelOnly="1" outline="0" axis="axisValues" fieldPosition="0"/>
    </format>
    <format dxfId="1554">
      <pivotArea type="all" dataOnly="0" outline="0" fieldPosition="0"/>
    </format>
    <format dxfId="1555">
      <pivotArea dataOnly="0" labelOnly="1" outline="0" axis="axisValues" fieldPosition="0"/>
    </format>
    <format dxfId="1556">
      <pivotArea type="all" dataOnly="0" outline="0" fieldPosition="0"/>
    </format>
    <format dxfId="1557">
      <pivotArea type="all" dataOnly="0" outline="0" fieldPosition="0"/>
    </format>
    <format dxfId="1558">
      <pivotArea type="all" dataOnly="0" outline="0" fieldPosition="0"/>
    </format>
    <format dxfId="1559">
      <pivotArea type="all" dataOnly="0" outline="0" fieldPosition="0"/>
    </format>
    <format dxfId="1560">
      <pivotArea type="all" dataOnly="0" outline="0" fieldPosition="0"/>
    </format>
    <format dxfId="1561">
      <pivotArea outline="0" collapsedLevelsAreSubtotals="1" fieldPosition="0"/>
    </format>
    <format dxfId="1562">
      <pivotArea dataOnly="0" labelOnly="1" outline="0" axis="axisValues" fieldPosition="0"/>
    </format>
    <format dxfId="1563">
      <pivotArea dataOnly="0" labelOnly="1" outline="0" axis="axisValues" fieldPosition="0"/>
    </format>
    <format dxfId="1564">
      <pivotArea dataOnly="0" labelOnly="1" outline="0" axis="axisValues" fieldPosition="0"/>
    </format>
    <format dxfId="1565">
      <pivotArea dataOnly="0" labelOnly="1" outline="0" axis="axisValues" fieldPosition="0"/>
    </format>
    <format dxfId="1566">
      <pivotArea dataOnly="0" labelOnly="1" outline="0" axis="axisValues" fieldPosition="0"/>
    </format>
    <format dxfId="1567">
      <pivotArea outline="0" collapsedLevelsAreSubtotals="1" fieldPosition="0"/>
    </format>
    <format dxfId="1568">
      <pivotArea type="all" dataOnly="0" outline="0" fieldPosition="0"/>
    </format>
    <format dxfId="1569">
      <pivotArea type="all" dataOnly="0" outline="0" fieldPosition="0"/>
    </format>
    <format dxfId="1570">
      <pivotArea outline="0" collapsedLevelsAreSubtotals="1" fieldPosition="0"/>
    </format>
    <format dxfId="1571">
      <pivotArea dataOnly="0" labelOnly="1" outline="0" axis="axisValues" fieldPosition="0"/>
    </format>
    <format dxfId="1572">
      <pivotArea type="all" dataOnly="0" outline="0" fieldPosition="0"/>
    </format>
    <format dxfId="1573">
      <pivotArea outline="0" collapsedLevelsAreSubtotals="1" fieldPosition="0"/>
    </format>
    <format dxfId="1574">
      <pivotArea dataOnly="0" labelOnly="1" outline="0" axis="axisValues" fieldPosition="0"/>
    </format>
    <format dxfId="1575">
      <pivotArea type="all" dataOnly="0" outline="0" fieldPosition="0"/>
    </format>
    <format dxfId="1576">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_Rev"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3:C16"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Revenue_USD" fld="9" baseField="0" baseItem="0" numFmtId="168"/>
  </dataFields>
  <formats count="1">
    <format dxfId="1502">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_Dash"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19:C21" firstHeaderRow="1" firstDataRow="1" firstDataCol="1"/>
  <pivotFields count="11">
    <pivotField showAll="0"/>
    <pivotField axis="axisRow" numFmtId="14" showAll="0">
      <items count="15">
        <item h="1" x="0"/>
        <item h="1" x="1"/>
        <item h="1" x="2"/>
        <item h="1" x="3"/>
        <item h="1" x="4"/>
        <item h="1" x="5"/>
        <item h="1" x="6"/>
        <item h="1" x="7"/>
        <item h="1" x="8"/>
        <item x="9"/>
        <item h="1" x="10"/>
        <item h="1" x="11"/>
        <item h="1" x="12"/>
        <item h="1"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2">
    <i>
      <x v="9"/>
    </i>
    <i t="grand">
      <x/>
    </i>
  </rowItems>
  <colItems count="1">
    <i/>
  </colItems>
  <dataFields count="1">
    <dataField name="Sum of Revenue_USD" fld="9" baseField="0" baseItem="0" numFmtId="168"/>
  </dataFields>
  <formats count="1">
    <format dxfId="1503">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HT_Sold_TypexColor" cacheId="0" applyNumberFormats="0" applyBorderFormats="0" applyFontFormats="0" applyPatternFormats="0" applyAlignmentFormats="0" applyWidthHeightFormats="1" dataCaption="Values" updatedVersion="4" minRefreshableVersion="3" rowGrandTotals="0" itemPrintTitles="1" createdVersion="4" indent="0" outline="1" outlineData="1" multipleFieldFilters="0" chartFormat="13" rowHeaderCaption="Brand" colHeaderCaption="Type of Shoes">
  <location ref="J1:Q8" firstHeaderRow="1" firstDataRow="2" firstDataCol="1"/>
  <pivotFields count="11">
    <pivotField showAll="0"/>
    <pivotField numFmtId="166" showAll="0">
      <items count="15">
        <item h="1" x="0"/>
        <item h="1" x="1"/>
        <item h="1" x="2"/>
        <item h="1" x="3"/>
        <item h="1" x="4"/>
        <item h="1" x="5"/>
        <item h="1" x="6"/>
        <item h="1" x="7"/>
        <item h="1" x="8"/>
        <item x="9"/>
        <item h="1" x="10"/>
        <item h="1" x="11"/>
        <item h="1" x="12"/>
        <item h="1" x="13"/>
        <item t="default"/>
      </items>
    </pivotField>
    <pivotField showAll="0" sortType="ascending">
      <items count="7">
        <item x="3"/>
        <item x="2"/>
        <item x="0"/>
        <item x="4"/>
        <item x="5"/>
        <item x="1"/>
        <item t="default"/>
      </items>
    </pivotField>
    <pivotField axis="axisRow" showAll="0">
      <items count="7">
        <item x="0"/>
        <item x="2"/>
        <item x="3"/>
        <item x="1"/>
        <item x="5"/>
        <item x="4"/>
        <item t="default"/>
      </items>
    </pivotField>
    <pivotField axis="axisCol" showAll="0">
      <items count="7">
        <item x="5"/>
        <item x="0"/>
        <item x="3"/>
        <item x="1"/>
        <item x="4"/>
        <item x="2"/>
        <item t="default"/>
      </items>
    </pivotField>
    <pivotField showAll="0">
      <items count="8">
        <item x="1"/>
        <item x="0"/>
        <item x="2"/>
        <item x="4"/>
        <item x="5"/>
        <item x="6"/>
        <item x="3"/>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s>
  <rowFields count="1">
    <field x="3"/>
  </rowFields>
  <rowItems count="6">
    <i>
      <x/>
    </i>
    <i>
      <x v="1"/>
    </i>
    <i>
      <x v="2"/>
    </i>
    <i>
      <x v="3"/>
    </i>
    <i>
      <x v="4"/>
    </i>
    <i>
      <x v="5"/>
    </i>
  </rowItems>
  <colFields count="1">
    <field x="4"/>
  </colFields>
  <colItems count="7">
    <i>
      <x/>
    </i>
    <i>
      <x v="1"/>
    </i>
    <i>
      <x v="2"/>
    </i>
    <i>
      <x v="3"/>
    </i>
    <i>
      <x v="4"/>
    </i>
    <i>
      <x v="5"/>
    </i>
    <i t="grand">
      <x/>
    </i>
  </colItems>
  <dataFields count="1">
    <dataField name="Sum of Units_Sold" fld="8" baseField="0" baseItem="0" numFmtId="1"/>
  </dataFields>
  <formats count="1">
    <format dxfId="1483">
      <pivotArea outline="0" collapsedLevelsAreSubtotals="1" fieldPosition="0"/>
    </format>
  </format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HM_Sold_by_Brand" cacheId="0" applyNumberFormats="0" applyBorderFormats="0" applyFontFormats="0" applyPatternFormats="0" applyAlignmentFormats="0" applyWidthHeightFormats="1" dataCaption="Values" updatedVersion="4" minRefreshableVersion="3" rowGrandTotals="0" itemPrintTitles="1" createdVersion="4" indent="0" outline="1" outlineData="1" multipleFieldFilters="0" chartFormat="13" rowHeaderCaption="Brand" colHeaderCaption="Type of Shoes">
  <location ref="A1:H8" firstHeaderRow="1" firstDataRow="2" firstDataCol="1"/>
  <pivotFields count="11">
    <pivotField showAll="0"/>
    <pivotField numFmtId="166" showAll="0">
      <items count="15">
        <item h="1" x="0"/>
        <item h="1" x="1"/>
        <item h="1" x="2"/>
        <item h="1" x="3"/>
        <item h="1" x="4"/>
        <item h="1" x="5"/>
        <item h="1" x="6"/>
        <item h="1" x="7"/>
        <item h="1" x="8"/>
        <item x="9"/>
        <item h="1" x="10"/>
        <item h="1" x="11"/>
        <item h="1" x="12"/>
        <item h="1" x="13"/>
        <item t="default"/>
      </items>
    </pivotField>
    <pivotField axis="axisRow" showAll="0" sortType="ascending">
      <items count="7">
        <item x="3"/>
        <item x="2"/>
        <item x="0"/>
        <item x="4"/>
        <item x="5"/>
        <item x="1"/>
        <item t="default"/>
      </items>
    </pivotField>
    <pivotField axis="axisCol" showAll="0">
      <items count="7">
        <item x="0"/>
        <item x="2"/>
        <item x="3"/>
        <item x="1"/>
        <item x="5"/>
        <item x="4"/>
        <item t="default"/>
      </items>
    </pivotField>
    <pivotField showAll="0"/>
    <pivotField showAll="0">
      <items count="8">
        <item x="1"/>
        <item x="0"/>
        <item x="2"/>
        <item x="4"/>
        <item x="5"/>
        <item x="6"/>
        <item x="3"/>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s>
  <rowFields count="1">
    <field x="2"/>
  </rowFields>
  <rowItems count="6">
    <i>
      <x/>
    </i>
    <i>
      <x v="1"/>
    </i>
    <i>
      <x v="2"/>
    </i>
    <i>
      <x v="3"/>
    </i>
    <i>
      <x v="4"/>
    </i>
    <i>
      <x v="5"/>
    </i>
  </rowItems>
  <colFields count="1">
    <field x="3"/>
  </colFields>
  <colItems count="7">
    <i>
      <x/>
    </i>
    <i>
      <x v="1"/>
    </i>
    <i>
      <x v="2"/>
    </i>
    <i>
      <x v="3"/>
    </i>
    <i>
      <x v="4"/>
    </i>
    <i>
      <x v="5"/>
    </i>
    <i t="grand">
      <x/>
    </i>
  </colItems>
  <dataFields count="1">
    <dataField name="Sum of Units_Sold" fld="8" baseField="0" baseItem="0" numFmtId="1"/>
  </dataFields>
  <formats count="1">
    <format dxfId="1484">
      <pivotArea outline="0" collapsedLevelsAreSubtotals="1" fieldPosition="0"/>
    </format>
  </format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Top Country" cacheId="0"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0">
  <location ref="D3:E7" firstHeaderRow="1" firstDataRow="1" firstDataCol="1"/>
  <pivotFields count="11">
    <pivotField showAll="0"/>
    <pivotField numFmtId="166" showAll="0">
      <items count="15">
        <item h="1" x="0"/>
        <item h="1" x="1"/>
        <item h="1" x="2"/>
        <item h="1" x="3"/>
        <item h="1" x="4"/>
        <item h="1" x="5"/>
        <item h="1" x="6"/>
        <item h="1" x="7"/>
        <item h="1" x="8"/>
        <item x="9"/>
        <item h="1" x="10"/>
        <item h="1" x="11"/>
        <item h="1" x="12"/>
        <item h="1" x="13"/>
        <item t="default"/>
      </items>
    </pivotField>
    <pivotField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sortType="ascending">
      <items count="8">
        <item x="3"/>
        <item x="6"/>
        <item x="5"/>
        <item x="4"/>
        <item x="2"/>
        <item x="0"/>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5"/>
  </rowFields>
  <rowItems count="4">
    <i>
      <x v="5"/>
    </i>
    <i>
      <x v="6"/>
    </i>
    <i>
      <x v="1"/>
    </i>
    <i t="grand">
      <x/>
    </i>
  </rowItems>
  <colItems count="1">
    <i/>
  </colItems>
  <dataFields count="1">
    <dataField name="Sum of Revenue_USD" fld="9" baseField="0" baseItem="0" numFmtId="168"/>
  </dataFields>
  <formats count="1">
    <format dxfId="166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filters count="1">
    <filter fld="5"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op Bran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7" firstHeaderRow="1" firstDataRow="1" firstDataCol="1"/>
  <pivotFields count="11">
    <pivotField showAll="0"/>
    <pivotField numFmtId="166" showAll="0">
      <items count="15">
        <item h="1" x="0"/>
        <item h="1" x="1"/>
        <item h="1" x="2"/>
        <item h="1" x="3"/>
        <item h="1" x="4"/>
        <item h="1" x="5"/>
        <item h="1" x="6"/>
        <item h="1" x="7"/>
        <item h="1" x="8"/>
        <item x="9"/>
        <item h="1" x="10"/>
        <item h="1" x="11"/>
        <item h="1" x="12"/>
        <item h="1" x="13"/>
        <item t="default"/>
      </items>
    </pivotField>
    <pivotField axis="axisRow" showAll="0" measureFilter="1"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2"/>
  </rowFields>
  <rowItems count="4">
    <i>
      <x v="3"/>
    </i>
    <i>
      <x v="4"/>
    </i>
    <i>
      <x v="1"/>
    </i>
    <i t="grand">
      <x/>
    </i>
  </rowItems>
  <colItems count="1">
    <i/>
  </colItems>
  <dataFields count="1">
    <dataField name="Sum of Revenue_USD" fld="9" baseField="0" baseItem="0" numFmtId="168"/>
  </dataFields>
  <formats count="1">
    <format dxfId="1504">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Top Channel"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9">
  <location ref="G3:H7" firstHeaderRow="1" firstDataRow="1" firstDataCol="1"/>
  <pivotFields count="11">
    <pivotField showAll="0"/>
    <pivotField numFmtId="166" showAll="0">
      <items count="15">
        <item h="1" x="0"/>
        <item h="1" x="1"/>
        <item h="1" x="2"/>
        <item h="1" x="3"/>
        <item h="1" x="4"/>
        <item h="1" x="5"/>
        <item h="1" x="6"/>
        <item h="1" x="7"/>
        <item h="1" x="8"/>
        <item x="9"/>
        <item h="1" x="10"/>
        <item h="1" x="11"/>
        <item h="1" x="12"/>
        <item h="1" x="13"/>
        <item t="default"/>
      </items>
    </pivotField>
    <pivotField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8">
        <item x="3"/>
        <item x="6"/>
        <item x="5"/>
        <item x="4"/>
        <item x="2"/>
        <item x="0"/>
        <item x="1"/>
        <item t="default"/>
      </items>
      <autoSortScope>
        <pivotArea dataOnly="0" outline="0" fieldPosition="0">
          <references count="1">
            <reference field="4294967294" count="1" selected="0">
              <x v="0"/>
            </reference>
          </references>
        </pivotArea>
      </autoSortScope>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numFmtId="2" showAll="0"/>
    <pivotField showAll="0"/>
    <pivotField dataField="1" numFmtId="2" showAll="0"/>
    <pivotField dragToRow="0" dragToCol="0" dragToPage="0" showAll="0" defaultSubtotal="0"/>
  </pivotFields>
  <rowFields count="1">
    <field x="6"/>
  </rowFields>
  <rowItems count="4">
    <i>
      <x v="1"/>
    </i>
    <i>
      <x/>
    </i>
    <i>
      <x v="2"/>
    </i>
    <i t="grand">
      <x/>
    </i>
  </rowItems>
  <colItems count="1">
    <i/>
  </colItems>
  <dataFields count="1">
    <dataField name="Sum of Revenue_USD" fld="9" baseField="6" baseItem="0" numFmtId="168"/>
  </dataFields>
  <formats count="2">
    <format dxfId="1487">
      <pivotArea outline="0" collapsedLevelsAreSubtotals="1" fieldPosition="0"/>
    </format>
    <format dxfId="1488">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6" count="1" selected="0">
            <x v="1"/>
          </reference>
        </references>
      </pivotArea>
    </chartFormat>
    <chartFormat chart="18"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3">
  <location ref="H2:I10" firstHeaderRow="1" firstDataRow="1" firstDataCol="1"/>
  <pivotFields count="11">
    <pivotField showAll="0"/>
    <pivotField numFmtId="166" showAll="0">
      <items count="15">
        <item h="1" x="0"/>
        <item h="1" x="1"/>
        <item h="1" x="2"/>
        <item h="1" x="3"/>
        <item h="1" x="4"/>
        <item h="1" x="5"/>
        <item h="1" x="6"/>
        <item h="1" x="7"/>
        <item h="1" x="8"/>
        <item x="9"/>
        <item h="1" x="10"/>
        <item h="1" x="11"/>
        <item h="1" x="12"/>
        <item h="1" x="13"/>
        <item t="default"/>
      </items>
    </pivotField>
    <pivotField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8">
        <item x="1"/>
        <item x="0"/>
        <item x="2"/>
        <item x="4"/>
        <item x="5"/>
        <item x="6"/>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5"/>
  </rowFields>
  <rowItems count="8">
    <i>
      <x v="5"/>
    </i>
    <i>
      <x/>
    </i>
    <i>
      <x v="1"/>
    </i>
    <i>
      <x v="3"/>
    </i>
    <i>
      <x v="4"/>
    </i>
    <i>
      <x v="6"/>
    </i>
    <i>
      <x v="2"/>
    </i>
    <i t="grand">
      <x/>
    </i>
  </rowItems>
  <colItems count="1">
    <i/>
  </colItems>
  <dataFields count="1">
    <dataField name="Sum of Revenue_USD" fld="9" showDataAs="percentOfTotal" baseField="0" baseItem="0" numFmtId="10"/>
  </dataFields>
  <formats count="2">
    <format dxfId="1485">
      <pivotArea outline="0" collapsedLevelsAreSubtotals="1" fieldPosition="0"/>
    </format>
    <format dxfId="1486">
      <pivotArea outline="0" fieldPosition="0">
        <references count="1">
          <reference field="429496729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5"/>
          </reference>
        </references>
      </pivotArea>
    </chartFormat>
    <chartFormat chart="6" format="4">
      <pivotArea type="data" outline="0" fieldPosition="0">
        <references count="2">
          <reference field="4294967294" count="1" selected="0">
            <x v="0"/>
          </reference>
          <reference field="5" count="1" selected="0">
            <x v="6"/>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5" count="1" selected="0">
            <x v="4"/>
          </reference>
        </references>
      </pivotArea>
    </chartFormat>
    <chartFormat chart="12" format="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Brand Contribution" cacheId="0"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1">
  <location ref="E2:F9" firstHeaderRow="1" firstDataRow="1" firstDataCol="1"/>
  <pivotFields count="11">
    <pivotField showAll="0"/>
    <pivotField numFmtId="166" showAll="0">
      <items count="15">
        <item h="1" x="0"/>
        <item h="1" x="1"/>
        <item h="1" x="2"/>
        <item h="1" x="3"/>
        <item h="1" x="4"/>
        <item h="1" x="5"/>
        <item h="1" x="6"/>
        <item h="1" x="7"/>
        <item h="1" x="8"/>
        <item x="9"/>
        <item h="1" x="10"/>
        <item h="1" x="11"/>
        <item h="1" x="12"/>
        <item h="1" x="13"/>
        <item t="default"/>
      </items>
    </pivotField>
    <pivotField axis="axisRow" showAll="0" sortType="de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2"/>
  </rowFields>
  <rowItems count="7">
    <i>
      <x v="1"/>
    </i>
    <i>
      <x v="4"/>
    </i>
    <i>
      <x v="3"/>
    </i>
    <i>
      <x/>
    </i>
    <i>
      <x v="2"/>
    </i>
    <i>
      <x v="5"/>
    </i>
    <i t="grand">
      <x/>
    </i>
  </rowItems>
  <colItems count="1">
    <i/>
  </colItems>
  <dataFields count="1">
    <dataField name="Sum of Revenue_USD" fld="9" showDataAs="percentOfTotal" baseField="0" baseItem="0" numFmtId="10"/>
  </dataFields>
  <formats count="2">
    <format dxfId="1500">
      <pivotArea outline="0" collapsedLevelsAreSubtotals="1" fieldPosition="0"/>
    </format>
    <format dxfId="1501">
      <pivotArea outline="0" fieldPosition="0">
        <references count="1">
          <reference field="4294967294" count="1">
            <x v="0"/>
          </reference>
        </references>
      </pivotArea>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8"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Channel Contribut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3">
  <location ref="B2:C6" firstHeaderRow="1" firstDataRow="1" firstDataCol="1"/>
  <pivotFields count="11">
    <pivotField showAll="0"/>
    <pivotField numFmtId="166" showAll="0">
      <items count="15">
        <item h="1" x="0"/>
        <item h="1" x="1"/>
        <item h="1" x="2"/>
        <item h="1" x="3"/>
        <item h="1" x="4"/>
        <item h="1" x="5"/>
        <item h="1" x="6"/>
        <item h="1" x="7"/>
        <item h="1" x="8"/>
        <item x="9"/>
        <item h="1" x="10"/>
        <item h="1" x="11"/>
        <item h="1" x="12"/>
        <item h="1" x="13"/>
        <item t="default"/>
      </items>
    </pivotField>
    <pivotField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8">
        <item x="3"/>
        <item x="6"/>
        <item x="5"/>
        <item x="4"/>
        <item x="2"/>
        <item x="0"/>
        <item x="1"/>
        <item t="default"/>
      </items>
      <autoSortScope>
        <pivotArea dataOnly="0" outline="0" fieldPosition="0">
          <references count="1">
            <reference field="4294967294" count="1" selected="0">
              <x v="0"/>
            </reference>
          </references>
        </pivotArea>
      </autoSortScope>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2" showAll="0"/>
    <pivotField showAll="0"/>
    <pivotField dataField="1" numFmtId="2" showAll="0"/>
    <pivotField dragToRow="0" dragToCol="0" dragToPage="0" showAll="0" defaultSubtotal="0"/>
  </pivotFields>
  <rowFields count="1">
    <field x="6"/>
  </rowFields>
  <rowItems count="4">
    <i>
      <x v="2"/>
    </i>
    <i>
      <x/>
    </i>
    <i>
      <x v="1"/>
    </i>
    <i t="grand">
      <x/>
    </i>
  </rowItems>
  <colItems count="1">
    <i/>
  </colItems>
  <dataFields count="1">
    <dataField name="Sum of Revenue_USD" fld="9" showDataAs="percentOfTotal" baseField="6" baseItem="0" numFmtId="10"/>
  </dataFields>
  <formats count="2">
    <format dxfId="1481">
      <pivotArea outline="0" collapsedLevelsAreSubtotals="1" fieldPosition="0"/>
    </format>
    <format dxfId="1482">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6" count="1" selected="0">
            <x v="1"/>
          </reference>
        </references>
      </pivotArea>
    </chartFormat>
    <chartFormat chart="18" format="4">
      <pivotArea type="data" outline="0" fieldPosition="0">
        <references count="2">
          <reference field="4294967294" count="1" selected="0">
            <x v="0"/>
          </reference>
          <reference field="6"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Monthly Growth"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E2:F1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Revenue_USD" fld="9" showDataAs="percentDiff" baseField="1" baseItem="1048828" numFmtId="10"/>
  </dataFields>
  <formats count="5">
    <format dxfId="1493">
      <pivotArea outline="0" collapsedLevelsAreSubtotals="1" fieldPosition="0"/>
    </format>
    <format dxfId="1494">
      <pivotArea outline="0" collapsedLevelsAreSubtotals="1" fieldPosition="0"/>
    </format>
    <format dxfId="1495">
      <pivotArea outline="0" fieldPosition="0">
        <references count="1">
          <reference field="4294967294" count="1">
            <x v="0"/>
          </reference>
        </references>
      </pivotArea>
    </format>
    <format dxfId="1496">
      <pivotArea collapsedLevelsAreSubtotals="1" fieldPosition="0">
        <references count="1">
          <reference field="1" count="11">
            <x v="2"/>
            <x v="3"/>
            <x v="4"/>
            <x v="5"/>
            <x v="6"/>
            <x v="7"/>
            <x v="8"/>
            <x v="9"/>
            <x v="10"/>
            <x v="11"/>
            <x v="12"/>
          </reference>
        </references>
      </pivotArea>
    </format>
    <format dxfId="1497">
      <pivotArea type="all" dataOnly="0" outline="0" fieldPosition="0"/>
    </format>
  </format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6" id="{7E9E5BEF-C0EB-41E3-BD11-2895DC468239}">
            <x14:pivotAreas count="1">
              <pivotArea type="data" collapsedLevelsAreSubtotals="1" fieldPosition="0">
                <references count="2">
                  <reference field="4294967294" count="1" selected="0">
                    <x v="0"/>
                  </reference>
                  <reference field="1" count="1">
                    <x v="1"/>
                  </reference>
                </references>
              </pivotArea>
            </x14:pivotAreas>
          </x14:conditionalFormat>
        </x14:conditionalFormats>
      </x14:pivotTableDefinition>
    </ext>
  </extLst>
</pivotTableDefinition>
</file>

<file path=xl/pivotTables/pivotTable16.xml><?xml version="1.0" encoding="utf-8"?>
<pivotTableDefinition xmlns="http://schemas.openxmlformats.org/spreadsheetml/2006/main" name="Total Trans by bran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H2:I6" firstHeaderRow="1" firstDataRow="1" firstDataCol="1"/>
  <pivotFields count="11">
    <pivotField dataField="1" showAll="0"/>
    <pivotField numFmtId="14" showAll="0">
      <items count="15">
        <item h="1" x="0"/>
        <item h="1" x="1"/>
        <item h="1" x="2"/>
        <item h="1" x="3"/>
        <item h="1" x="4"/>
        <item h="1" x="5"/>
        <item h="1" x="6"/>
        <item h="1" x="7"/>
        <item h="1" x="8"/>
        <item x="9"/>
        <item h="1" x="10"/>
        <item h="1" x="11"/>
        <item h="1" x="12"/>
        <item h="1" x="13"/>
        <item t="default"/>
      </items>
    </pivotField>
    <pivotField showAll="0">
      <items count="7">
        <item x="3"/>
        <item x="2"/>
        <item x="0"/>
        <item x="4"/>
        <item x="5"/>
        <item x="1"/>
        <item t="default"/>
      </items>
    </pivotField>
    <pivotField showAll="0">
      <items count="7">
        <item x="0"/>
        <item x="2"/>
        <item x="3"/>
        <item x="1"/>
        <item x="5"/>
        <item x="4"/>
        <item t="default"/>
      </items>
    </pivotField>
    <pivotField showAll="0"/>
    <pivotField showAll="0">
      <items count="8">
        <item x="3"/>
        <item x="6"/>
        <item x="5"/>
        <item x="4"/>
        <item x="2"/>
        <item x="0"/>
        <item x="1"/>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numFmtId="2" showAll="0"/>
    <pivotField showAll="0"/>
    <pivotField numFmtId="2" showAll="0"/>
    <pivotField dragToRow="0" dragToCol="0" dragToPage="0" showAll="0" defaultSubtotal="0"/>
  </pivotFields>
  <rowFields count="1">
    <field x="6"/>
  </rowFields>
  <rowItems count="4">
    <i>
      <x v="1"/>
    </i>
    <i>
      <x/>
    </i>
    <i>
      <x v="2"/>
    </i>
    <i t="grand">
      <x/>
    </i>
  </rowItems>
  <colItems count="1">
    <i/>
  </colItems>
  <dataFields count="1">
    <dataField name="Count of Sale_ID" fld="0" subtotal="count" baseField="0" baseItem="0"/>
  </dataFields>
  <formats count="2">
    <format dxfId="1498">
      <pivotArea outline="0" collapsedLevelsAreSubtotals="1" fieldPosition="0"/>
    </format>
    <format dxfId="1499">
      <pivotArea type="all" dataOnly="0" outline="0"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Monthly Revenu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2:C1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Revenue_USD" fld="9" baseField="0" baseItem="0" numFmtId="168"/>
  </dataFields>
  <formats count="2">
    <format dxfId="1489">
      <pivotArea outline="0" collapsedLevelsAreSubtotals="1" fieldPosition="0"/>
    </format>
    <format dxfId="1490">
      <pivotArea type="all" dataOnly="0" outline="0"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Total Rev by Bran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K2:L9" firstHeaderRow="1" firstDataRow="1" firstDataCol="1"/>
  <pivotFields count="11">
    <pivotField showAll="0"/>
    <pivotField numFmtId="14" showAll="0">
      <items count="15">
        <item h="1" x="0"/>
        <item h="1" x="1"/>
        <item h="1" x="2"/>
        <item h="1" x="3"/>
        <item h="1" x="4"/>
        <item h="1" x="5"/>
        <item h="1" x="6"/>
        <item h="1" x="7"/>
        <item h="1" x="8"/>
        <item x="9"/>
        <item h="1" x="10"/>
        <item h="1" x="11"/>
        <item h="1" x="12"/>
        <item h="1" x="13"/>
        <item t="default"/>
      </items>
    </pivotField>
    <pivotField axis="axisRow"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2"/>
  </rowFields>
  <rowItems count="7">
    <i>
      <x v="5"/>
    </i>
    <i>
      <x v="2"/>
    </i>
    <i>
      <x/>
    </i>
    <i>
      <x v="3"/>
    </i>
    <i>
      <x v="4"/>
    </i>
    <i>
      <x v="1"/>
    </i>
    <i t="grand">
      <x/>
    </i>
  </rowItems>
  <colItems count="1">
    <i/>
  </colItems>
  <dataFields count="1">
    <dataField name="Sum of Revenue_USD" fld="9" baseField="0" baseItem="0" numFmtId="168"/>
  </dataFields>
  <formats count="2">
    <format dxfId="1491">
      <pivotArea type="all" dataOnly="0" outline="0" fieldPosition="0"/>
    </format>
    <format dxfId="1492">
      <pivotArea outline="0" collapsedLevelsAreSubtotals="1"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5" name="Total Revenue"/>
    <pivotTable tabId="5" name="AVG Revenue"/>
    <pivotTable tabId="5" name="Total Sold"/>
    <pivotTable tabId="5" name="Total Transaction"/>
    <pivotTable tabId="10" name="Top Brand"/>
    <pivotTable tabId="10" name="Top Channel"/>
    <pivotTable tabId="11" name="Pivot_Dash"/>
    <pivotTable tabId="11" name="Pivot_Rev"/>
    <pivotTable tabId="12" name="Channel Contribution"/>
    <pivotTable tabId="12" name="Brand Contribution"/>
    <pivotTable tabId="13" name="Total Trans by brand"/>
    <pivotTable tabId="13" name="Monthly Growth"/>
    <pivotTable tabId="13" name="Total Rev by Brand"/>
    <pivotTable tabId="13" name="Monthly Revenue"/>
    <pivotTable tabId="15" name="HM_Sold_by_Brand"/>
    <pivotTable tabId="15" name="HT_Sold_TypexColor"/>
  </pivotTables>
  <data>
    <tabular pivotCacheId="1">
      <items count="7">
        <i x="3" s="1"/>
        <i x="6" s="1"/>
        <i x="5"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10" name="Top Country"/>
    <pivotTable tabId="5" name="AVG Revenue"/>
    <pivotTable tabId="5" name="Total Revenue"/>
    <pivotTable tabId="5" name="Total Sold"/>
    <pivotTable tabId="5" name="Total Transaction"/>
    <pivotTable tabId="10" name="Top Brand"/>
    <pivotTable tabId="10" name="Top Channel"/>
    <pivotTable tabId="11" name="Pivot_Dash"/>
    <pivotTable tabId="12" name="Channel Contribution"/>
    <pivotTable tabId="12" name="Brand Contribution"/>
    <pivotTable tabId="13" name="Total Trans by brand"/>
    <pivotTable tabId="13" name="Total Rev by Brand"/>
    <pivotTable tabId="12" name="PivotTable1"/>
    <pivotTable tabId="15" name="HM_Sold_by_Brand"/>
    <pivotTable tabId="15" name="HT_Sold_TypexColor"/>
  </pivotTables>
  <data>
    <tabular pivotCacheId="1">
      <items count="14">
        <i x="1"/>
        <i x="2"/>
        <i x="3"/>
        <i x="4"/>
        <i x="5"/>
        <i x="6"/>
        <i x="7"/>
        <i x="8"/>
        <i x="9" s="1"/>
        <i x="10"/>
        <i x="11"/>
        <i x="12"/>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10" name="Top Country"/>
    <pivotTable tabId="5" name="AVG Revenue"/>
    <pivotTable tabId="5" name="Total Sold"/>
    <pivotTable tabId="5" name="Total Transaction"/>
    <pivotTable tabId="5" name="Total Revenue"/>
    <pivotTable tabId="11" name="Pivot_Dash"/>
    <pivotTable tabId="11" name="Pivot_Rev"/>
    <pivotTable tabId="12" name="Channel Contribution"/>
    <pivotTable tabId="12" name="Brand Contribution"/>
    <pivotTable tabId="13" name="Monthly Growth"/>
    <pivotTable tabId="13" name="Total Rev by Brand"/>
    <pivotTable tabId="13" name="Monthly Revenue"/>
    <pivotTable tabId="12" name="PivotTable1"/>
    <pivotTable tabId="10" name="Top Channel"/>
    <pivotTable tabId="13" name="Total Trans by brand"/>
    <pivotTable tabId="15" name="HM_Sold_by_Brand"/>
    <pivotTable tabId="15" name="HT_Sold_TypexColor"/>
  </pivotTables>
  <data>
    <tabular pivotCacheId="1">
      <items count="6">
        <i x="3" s="1"/>
        <i x="2" s="1"/>
        <i x="0" s="1"/>
        <i x="4"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_Channel" sourceName="Sales_Channel">
  <pivotTables>
    <pivotTable tabId="10" name="Top Country"/>
    <pivotTable tabId="5" name="AVG Revenue"/>
    <pivotTable tabId="5" name="Total Revenue"/>
    <pivotTable tabId="5" name="Total Sold"/>
    <pivotTable tabId="5" name="Total Transaction"/>
    <pivotTable tabId="10" name="Top Brand"/>
    <pivotTable tabId="11" name="Pivot_Dash"/>
    <pivotTable tabId="11" name="Pivot_Rev"/>
    <pivotTable tabId="12" name="Brand Contribution"/>
    <pivotTable tabId="13" name="Total Trans by brand"/>
    <pivotTable tabId="13" name="Monthly Growth"/>
    <pivotTable tabId="13" name="Total Rev by Brand"/>
    <pivotTable tabId="13" name="Monthly Revenue"/>
    <pivotTable tabId="10" name="Top Channel"/>
    <pivotTable tabId="12" name="PivotTable1"/>
    <pivotTable tabId="15" name="HM_Sold_by_Brand"/>
    <pivotTable tabId="15" name="HT_Sold_TypexColor"/>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SlicerStyleLight1 2" rowHeight="241300"/>
  <slicer name="Month" cache="Slicer_Date" caption="Month" startItem="4" style="SlicerStyleLight1 2" rowHeight="241300"/>
  <slicer name="Brand" cache="Slicer_Brand" caption="Brand" style="SlicerStyleLight1 2" rowHeight="241300"/>
  <slicer name="Sales_Channel" cache="Slicer_Sales_Channel" caption="Channel" style="SlicerStyleLight1 2" rowHeight="241300"/>
</slicers>
</file>

<file path=xl/tables/table1.xml><?xml version="1.0" encoding="utf-8"?>
<table xmlns="http://schemas.openxmlformats.org/spreadsheetml/2006/main" id="2" name="Table1.Sales_Data" displayName="Table1.Sales_Data" ref="A1:J1007" totalsRowShown="0">
  <autoFilter ref="A1:J1007"/>
  <tableColumns count="10">
    <tableColumn id="1" name="Sale_ID"/>
    <tableColumn id="2" name="Date" dataDxfId="1671"/>
    <tableColumn id="3" name="Brand"/>
    <tableColumn id="4" name="Shoe_Type"/>
    <tableColumn id="5" name="Color"/>
    <tableColumn id="6" name="Country"/>
    <tableColumn id="7" name="Sales_Channel"/>
    <tableColumn id="8" name="Price_USD" dataDxfId="1670"/>
    <tableColumn id="9" name="Units_Sold"/>
    <tableColumn id="10" name="Revenue_USD" dataDxfId="166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0" tint="-0.499984740745262"/>
  </sheetPr>
  <dimension ref="A1:P1007"/>
  <sheetViews>
    <sheetView zoomScale="80" zoomScaleNormal="80" workbookViewId="0">
      <selection activeCell="L22" sqref="L22"/>
    </sheetView>
  </sheetViews>
  <sheetFormatPr defaultRowHeight="15" x14ac:dyDescent="0.25"/>
  <cols>
    <col min="1" max="1" width="9.85546875" bestFit="1" customWidth="1"/>
    <col min="2" max="2" width="18" customWidth="1"/>
    <col min="3" max="3" width="12.42578125" bestFit="1" customWidth="1"/>
    <col min="4" max="4" width="13" bestFit="1" customWidth="1"/>
    <col min="5" max="5" width="8" bestFit="1" customWidth="1"/>
    <col min="6" max="6" width="12" bestFit="1" customWidth="1"/>
    <col min="7" max="7" width="16.28515625" bestFit="1" customWidth="1"/>
    <col min="8" max="8" width="12.42578125" style="2" bestFit="1" customWidth="1"/>
    <col min="9" max="9" width="12.85546875" bestFit="1" customWidth="1"/>
    <col min="10" max="10" width="16" style="2" bestFit="1" customWidth="1"/>
    <col min="12" max="12" width="19.7109375" customWidth="1"/>
    <col min="13" max="13" width="15.140625" bestFit="1" customWidth="1"/>
    <col min="14" max="15" width="15.28515625" customWidth="1"/>
    <col min="16" max="16" width="19.42578125" customWidth="1"/>
  </cols>
  <sheetData>
    <row r="1" spans="1:16" x14ac:dyDescent="0.25">
      <c r="A1" t="s">
        <v>0</v>
      </c>
      <c r="B1" t="s">
        <v>1</v>
      </c>
      <c r="C1" t="s">
        <v>2</v>
      </c>
      <c r="D1" t="s">
        <v>3</v>
      </c>
      <c r="E1" t="s">
        <v>4</v>
      </c>
      <c r="F1" t="s">
        <v>5</v>
      </c>
      <c r="G1" t="s">
        <v>6</v>
      </c>
      <c r="H1" s="2" t="s">
        <v>7</v>
      </c>
      <c r="I1" t="s">
        <v>8</v>
      </c>
      <c r="J1" s="2" t="s">
        <v>9</v>
      </c>
    </row>
    <row r="2" spans="1:16" x14ac:dyDescent="0.25">
      <c r="A2" t="s">
        <v>10</v>
      </c>
      <c r="B2" s="16">
        <v>45985</v>
      </c>
      <c r="C2" t="s">
        <v>11</v>
      </c>
      <c r="D2" t="s">
        <v>12</v>
      </c>
      <c r="E2" t="s">
        <v>13</v>
      </c>
      <c r="F2" t="s">
        <v>14</v>
      </c>
      <c r="G2" t="s">
        <v>15</v>
      </c>
      <c r="H2" s="2">
        <v>112.4</v>
      </c>
      <c r="I2">
        <v>4</v>
      </c>
      <c r="J2" s="2">
        <v>449.6</v>
      </c>
      <c r="L2" s="10" t="s">
        <v>537</v>
      </c>
      <c r="M2" s="11" t="s">
        <v>538</v>
      </c>
      <c r="N2" s="10" t="s">
        <v>539</v>
      </c>
      <c r="O2" s="10" t="s">
        <v>542</v>
      </c>
      <c r="P2" s="11" t="s">
        <v>540</v>
      </c>
    </row>
    <row r="3" spans="1:16" x14ac:dyDescent="0.25">
      <c r="A3" t="s">
        <v>16</v>
      </c>
      <c r="B3" s="16">
        <v>45729</v>
      </c>
      <c r="C3" t="s">
        <v>17</v>
      </c>
      <c r="D3" t="s">
        <v>12</v>
      </c>
      <c r="E3" t="s">
        <v>18</v>
      </c>
      <c r="F3" t="s">
        <v>19</v>
      </c>
      <c r="G3" t="s">
        <v>20</v>
      </c>
      <c r="H3" s="2">
        <v>239.16</v>
      </c>
      <c r="I3">
        <v>4</v>
      </c>
      <c r="J3" s="2">
        <v>956.64</v>
      </c>
      <c r="L3" s="3" t="s">
        <v>0</v>
      </c>
      <c r="M3" s="4">
        <f>COUNTA(INDEX(Table1.Sales_Data[],0,MATCH(L3,Table1.Sales_Data[#Headers],0)))</f>
        <v>1006</v>
      </c>
      <c r="N3" s="5">
        <f>COUNTBLANK(INDEX(Table1.Sales_Data[],0,MATCH(L3,Table1.Sales_Data[#Headers],0)))</f>
        <v>0</v>
      </c>
      <c r="O3" s="5" t="str">
        <f>IF(TYPE(INDEX(Table1.Sales_Data[],0,MATCH(L3,Table1.Sales_Data[#Headers],0)))=1,"NUMBER",
IF(TYPE(INDEX(Table1.Sales_Data[],0,MATCH(L3,Table1.Sales_Data[#Headers],0)))=2,"TEXT",
IF(TYPE(INDEX(Table1.Sales_Data[],0,MATCH(L3,Table1.Sales_Data[#Headers],0)))=4,"LOGICAL",
IF(TYPE(INDEX(Table1.Sales_Data[],0,MATCH(L3,Table1.Sales_Data[#Headers],0)))=16,"ERROR",
"LAINNYA"))))</f>
        <v>TEXT</v>
      </c>
      <c r="P3" s="75" t="s">
        <v>541</v>
      </c>
    </row>
    <row r="4" spans="1:16" x14ac:dyDescent="0.25">
      <c r="A4" t="s">
        <v>21</v>
      </c>
      <c r="B4" s="16">
        <v>45874</v>
      </c>
      <c r="C4" t="s">
        <v>11</v>
      </c>
      <c r="D4" t="s">
        <v>22</v>
      </c>
      <c r="E4" t="s">
        <v>23</v>
      </c>
      <c r="F4" t="s">
        <v>14</v>
      </c>
      <c r="G4" t="s">
        <v>20</v>
      </c>
      <c r="H4" s="2">
        <v>191.04</v>
      </c>
      <c r="I4">
        <v>2</v>
      </c>
      <c r="J4" s="2">
        <v>382.08</v>
      </c>
      <c r="L4" s="3" t="s">
        <v>1</v>
      </c>
      <c r="M4" s="4">
        <f>COUNTA(INDEX(Table1.Sales_Data[],0,MATCH(L4,Table1.Sales_Data[#Headers],0)))</f>
        <v>1006</v>
      </c>
      <c r="N4" s="5">
        <f>COUNTBLANK(INDEX(Table1.Sales_Data[],0,MATCH(L4,Table1.Sales_Data[#Headers],0)))</f>
        <v>0</v>
      </c>
      <c r="O4" s="5" t="str">
        <f>IF(TYPE(INDEX(Table1.Sales_Data[],0,MATCH(L4,Table1.Sales_Data[#Headers],0)))=1,"DATE",
IF(TYPE(INDEX(Table1.Sales_Data[],0,MATCH(L4,Table1.Sales_Data[#Headers],0)))=2,"TEXT",
IF(TYPE(INDEX(Table1.Sales_Data[],0,MATCH(L4,Table1.Sales_Data[#Headers],0)))=4,"LOGICAL",
IF(TYPE(INDEX(Table1.Sales_Data[],0,MATCH(L4,Table1.Sales_Data[#Headers],0)))=16,"ERROR",
"LAINNYA"))))</f>
        <v>DATE</v>
      </c>
      <c r="P4" s="75"/>
    </row>
    <row r="5" spans="1:16" x14ac:dyDescent="0.25">
      <c r="A5" t="s">
        <v>24</v>
      </c>
      <c r="B5" s="16">
        <v>45966</v>
      </c>
      <c r="C5" t="s">
        <v>25</v>
      </c>
      <c r="D5" t="s">
        <v>26</v>
      </c>
      <c r="E5" t="s">
        <v>27</v>
      </c>
      <c r="F5" t="s">
        <v>28</v>
      </c>
      <c r="G5" t="s">
        <v>20</v>
      </c>
      <c r="H5" s="2">
        <v>161.69999999999999</v>
      </c>
      <c r="I5">
        <v>1</v>
      </c>
      <c r="J5" s="2">
        <v>161.69999999999999</v>
      </c>
      <c r="L5" s="3" t="s">
        <v>2</v>
      </c>
      <c r="M5" s="4">
        <f>COUNTA(INDEX(Table1.Sales_Data[],0,MATCH(L5,Table1.Sales_Data[#Headers],0)))</f>
        <v>1006</v>
      </c>
      <c r="N5" s="5">
        <f>COUNTBLANK(INDEX(Table1.Sales_Data[],0,MATCH(L5,Table1.Sales_Data[#Headers],0)))</f>
        <v>0</v>
      </c>
      <c r="O5" s="5" t="str">
        <f>IF(TYPE(INDEX(Table1.Sales_Data[],0,MATCH(L5,Table1.Sales_Data[#Headers],0)))=1,"NUMBER",
IF(TYPE(INDEX(Table1.Sales_Data[],0,MATCH(L5,Table1.Sales_Data[#Headers],0)))=2,"TEXT",
IF(TYPE(INDEX(Table1.Sales_Data[],0,MATCH(L5,Table1.Sales_Data[#Headers],0)))=4,"LOGICAL",
IF(TYPE(INDEX(Table1.Sales_Data[],0,MATCH(L5,Table1.Sales_Data[#Headers],0)))=16,"ERROR",
"LAINNYA"))))</f>
        <v>TEXT</v>
      </c>
      <c r="P5" s="75"/>
    </row>
    <row r="6" spans="1:16" x14ac:dyDescent="0.25">
      <c r="A6" t="s">
        <v>29</v>
      </c>
      <c r="B6" s="16">
        <v>45937</v>
      </c>
      <c r="C6" t="s">
        <v>30</v>
      </c>
      <c r="D6" t="s">
        <v>31</v>
      </c>
      <c r="E6" t="s">
        <v>18</v>
      </c>
      <c r="F6" t="s">
        <v>32</v>
      </c>
      <c r="G6" t="s">
        <v>15</v>
      </c>
      <c r="H6" s="2">
        <v>64.319999999999993</v>
      </c>
      <c r="I6">
        <v>14</v>
      </c>
      <c r="J6" s="2">
        <v>900.48</v>
      </c>
      <c r="L6" s="3" t="s">
        <v>3</v>
      </c>
      <c r="M6" s="4">
        <f>COUNTA(INDEX(Table1.Sales_Data[],0,MATCH(L6,Table1.Sales_Data[#Headers],0)))</f>
        <v>1006</v>
      </c>
      <c r="N6" s="5">
        <f>COUNTBLANK(INDEX(Table1.Sales_Data[],0,MATCH(L6,Table1.Sales_Data[#Headers],0)))</f>
        <v>0</v>
      </c>
      <c r="O6" s="5" t="str">
        <f>IF(TYPE(INDEX(Table1.Sales_Data[],0,MATCH(L6,Table1.Sales_Data[#Headers],0)))=1,"NUMBER",
IF(TYPE(INDEX(Table1.Sales_Data[],0,MATCH(L6,Table1.Sales_Data[#Headers],0)))=2,"TEXT",
IF(TYPE(INDEX(Table1.Sales_Data[],0,MATCH(L6,Table1.Sales_Data[#Headers],0)))=4,"LOGICAL",
IF(TYPE(INDEX(Table1.Sales_Data[],0,MATCH(L6,Table1.Sales_Data[#Headers],0)))=16,"ERROR",
"LAINNYA"))))</f>
        <v>TEXT</v>
      </c>
      <c r="P6" s="75"/>
    </row>
    <row r="7" spans="1:16" x14ac:dyDescent="0.25">
      <c r="A7" t="s">
        <v>33</v>
      </c>
      <c r="B7" s="16">
        <v>45739</v>
      </c>
      <c r="C7" t="s">
        <v>34</v>
      </c>
      <c r="D7" t="s">
        <v>35</v>
      </c>
      <c r="E7" t="s">
        <v>23</v>
      </c>
      <c r="F7" t="s">
        <v>14</v>
      </c>
      <c r="G7" t="s">
        <v>36</v>
      </c>
      <c r="H7" s="2">
        <v>64.319999999999993</v>
      </c>
      <c r="I7">
        <v>14</v>
      </c>
      <c r="J7" s="2">
        <v>900.48</v>
      </c>
      <c r="L7" s="3" t="s">
        <v>4</v>
      </c>
      <c r="M7" s="4">
        <f>COUNTA(INDEX(Table1.Sales_Data[],0,MATCH(L7,Table1.Sales_Data[#Headers],0)))</f>
        <v>1006</v>
      </c>
      <c r="N7" s="5">
        <f>COUNTBLANK(INDEX(Table1.Sales_Data[],0,MATCH(L7,Table1.Sales_Data[#Headers],0)))</f>
        <v>0</v>
      </c>
      <c r="O7" s="5" t="str">
        <f>IF(TYPE(INDEX(Table1.Sales_Data[],0,MATCH(L7,Table1.Sales_Data[#Headers],0)))=1,"NUMBER",
IF(TYPE(INDEX(Table1.Sales_Data[],0,MATCH(L7,Table1.Sales_Data[#Headers],0)))=2,"TEXT",
IF(TYPE(INDEX(Table1.Sales_Data[],0,MATCH(L7,Table1.Sales_Data[#Headers],0)))=4,"LOGICAL",
IF(TYPE(INDEX(Table1.Sales_Data[],0,MATCH(L7,Table1.Sales_Data[#Headers],0)))=16,"ERROR",
"LAINNYA"))))</f>
        <v>TEXT</v>
      </c>
      <c r="P7" s="75"/>
    </row>
    <row r="8" spans="1:16" x14ac:dyDescent="0.25">
      <c r="A8" t="s">
        <v>37</v>
      </c>
      <c r="B8" s="16">
        <v>45710</v>
      </c>
      <c r="C8" t="s">
        <v>38</v>
      </c>
      <c r="D8" t="s">
        <v>22</v>
      </c>
      <c r="E8" t="s">
        <v>13</v>
      </c>
      <c r="F8" t="s">
        <v>39</v>
      </c>
      <c r="G8" t="s">
        <v>36</v>
      </c>
      <c r="H8" s="2">
        <v>42.78</v>
      </c>
      <c r="I8">
        <v>3</v>
      </c>
      <c r="J8" s="2">
        <v>128.34</v>
      </c>
      <c r="L8" s="3" t="s">
        <v>5</v>
      </c>
      <c r="M8" s="4">
        <f>COUNTA(INDEX(Table1.Sales_Data[],0,MATCH(L8,Table1.Sales_Data[#Headers],0)))</f>
        <v>1006</v>
      </c>
      <c r="N8" s="5">
        <f>COUNTBLANK(INDEX(Table1.Sales_Data[],0,MATCH(L8,Table1.Sales_Data[#Headers],0)))</f>
        <v>0</v>
      </c>
      <c r="O8" s="5" t="str">
        <f>IF(TYPE(INDEX(Table1.Sales_Data[],0,MATCH(L8,Table1.Sales_Data[#Headers],0)))=1,"NUMBER",
IF(TYPE(INDEX(Table1.Sales_Data[],0,MATCH(L8,Table1.Sales_Data[#Headers],0)))=2,"TEXT",
IF(TYPE(INDEX(Table1.Sales_Data[],0,MATCH(L8,Table1.Sales_Data[#Headers],0)))=4,"LOGICAL",
IF(TYPE(INDEX(Table1.Sales_Data[],0,MATCH(L8,Table1.Sales_Data[#Headers],0)))=16,"ERROR",
"LAINNYA"))))</f>
        <v>TEXT</v>
      </c>
      <c r="P8" s="75"/>
    </row>
    <row r="9" spans="1:16" x14ac:dyDescent="0.25">
      <c r="A9" t="s">
        <v>40</v>
      </c>
      <c r="B9" s="16">
        <v>45967</v>
      </c>
      <c r="C9" t="s">
        <v>11</v>
      </c>
      <c r="D9" t="s">
        <v>12</v>
      </c>
      <c r="E9" t="s">
        <v>41</v>
      </c>
      <c r="F9" t="s">
        <v>42</v>
      </c>
      <c r="G9" t="s">
        <v>15</v>
      </c>
      <c r="H9" s="2">
        <v>220.56</v>
      </c>
      <c r="I9">
        <v>9</v>
      </c>
      <c r="J9" s="2">
        <v>1985.04</v>
      </c>
      <c r="L9" s="3" t="s">
        <v>6</v>
      </c>
      <c r="M9" s="4">
        <f>COUNTA(INDEX(Table1.Sales_Data[],0,MATCH(L9,Table1.Sales_Data[#Headers],0)))</f>
        <v>1006</v>
      </c>
      <c r="N9" s="5">
        <f>COUNTBLANK(INDEX(Table1.Sales_Data[],0,MATCH(L9,Table1.Sales_Data[#Headers],0)))</f>
        <v>0</v>
      </c>
      <c r="O9" s="5" t="str">
        <f>IF(TYPE(INDEX(Table1.Sales_Data[],0,MATCH(L9,Table1.Sales_Data[#Headers],0)))=1,"NUMBER",
IF(TYPE(INDEX(Table1.Sales_Data[],0,MATCH(L9,Table1.Sales_Data[#Headers],0)))=2,"TEXT",
IF(TYPE(INDEX(Table1.Sales_Data[],0,MATCH(L9,Table1.Sales_Data[#Headers],0)))=4,"LOGICAL",
IF(TYPE(INDEX(Table1.Sales_Data[],0,MATCH(L9,Table1.Sales_Data[#Headers],0)))=16,"ERROR",
"LAINNYA"))))</f>
        <v>TEXT</v>
      </c>
      <c r="P9" s="75"/>
    </row>
    <row r="10" spans="1:16" x14ac:dyDescent="0.25">
      <c r="A10" t="s">
        <v>43</v>
      </c>
      <c r="B10" s="16">
        <v>45851</v>
      </c>
      <c r="C10" t="s">
        <v>25</v>
      </c>
      <c r="D10" t="s">
        <v>35</v>
      </c>
      <c r="E10" t="s">
        <v>27</v>
      </c>
      <c r="F10" t="s">
        <v>42</v>
      </c>
      <c r="G10" t="s">
        <v>36</v>
      </c>
      <c r="H10" s="2">
        <v>162.25</v>
      </c>
      <c r="I10">
        <v>3</v>
      </c>
      <c r="J10" s="2">
        <v>486.75</v>
      </c>
      <c r="L10" s="6" t="s">
        <v>7</v>
      </c>
      <c r="M10" s="4">
        <f>COUNTA(INDEX(Table1.Sales_Data[],0,MATCH(L10,Table1.Sales_Data[#Headers],0)))</f>
        <v>1006</v>
      </c>
      <c r="N10" s="5">
        <f>COUNTBLANK(INDEX(Table1.Sales_Data[],0,MATCH(L10,Table1.Sales_Data[#Headers],0)))</f>
        <v>0</v>
      </c>
      <c r="O10" s="5" t="str">
        <f>IF(TYPE(INDEX(Table1.Sales_Data[],0,MATCH(L10,Table1.Sales_Data[#Headers],0)))=1,"NUMBER",
IF(TYPE(INDEX(Table1.Sales_Data[],0,MATCH(L10,Table1.Sales_Data[#Headers],0)))=2,"TEXT",
IF(TYPE(INDEX(Table1.Sales_Data[],0,MATCH(L10,Table1.Sales_Data[#Headers],0)))=4,"LOGICAL",
IF(TYPE(INDEX(Table1.Sales_Data[],0,MATCH(L10,Table1.Sales_Data[#Headers],0)))=16,"ERROR",
"LAINNYA"))))</f>
        <v>NUMBER</v>
      </c>
      <c r="P10" s="75"/>
    </row>
    <row r="11" spans="1:16" x14ac:dyDescent="0.25">
      <c r="A11" t="s">
        <v>44</v>
      </c>
      <c r="B11" s="16">
        <v>45953</v>
      </c>
      <c r="C11" t="s">
        <v>17</v>
      </c>
      <c r="D11" t="s">
        <v>22</v>
      </c>
      <c r="E11" t="s">
        <v>45</v>
      </c>
      <c r="F11" t="s">
        <v>28</v>
      </c>
      <c r="G11" t="s">
        <v>15</v>
      </c>
      <c r="H11" s="2">
        <v>185.78</v>
      </c>
      <c r="I11">
        <v>7</v>
      </c>
      <c r="J11" s="2">
        <v>1300.46</v>
      </c>
      <c r="L11" s="3" t="s">
        <v>8</v>
      </c>
      <c r="M11" s="4">
        <f>COUNTA(INDEX(Table1.Sales_Data[],0,MATCH(L11,Table1.Sales_Data[#Headers],0)))</f>
        <v>1006</v>
      </c>
      <c r="N11" s="5">
        <f>COUNTBLANK(INDEX(Table1.Sales_Data[],0,MATCH(L11,Table1.Sales_Data[#Headers],0)))</f>
        <v>0</v>
      </c>
      <c r="O11" s="5" t="str">
        <f>IF(TYPE(INDEX(Table1.Sales_Data[],0,MATCH(L11,Table1.Sales_Data[#Headers],0)))=1,"NUMBER",
IF(TYPE(INDEX(Table1.Sales_Data[],0,MATCH(L11,Table1.Sales_Data[#Headers],0)))=2,"TEXT",
IF(TYPE(INDEX(Table1.Sales_Data[],0,MATCH(L11,Table1.Sales_Data[#Headers],0)))=4,"LOGICAL",
IF(TYPE(INDEX(Table1.Sales_Data[],0,MATCH(L11,Table1.Sales_Data[#Headers],0)))=16,"ERROR",
"LAINNYA"))))</f>
        <v>NUMBER</v>
      </c>
      <c r="P11" s="75"/>
    </row>
    <row r="12" spans="1:16" x14ac:dyDescent="0.25">
      <c r="A12" t="s">
        <v>46</v>
      </c>
      <c r="B12" s="16">
        <v>45806</v>
      </c>
      <c r="C12" t="s">
        <v>30</v>
      </c>
      <c r="D12" t="s">
        <v>22</v>
      </c>
      <c r="E12" t="s">
        <v>41</v>
      </c>
      <c r="F12" t="s">
        <v>32</v>
      </c>
      <c r="G12" t="s">
        <v>36</v>
      </c>
      <c r="H12" s="2">
        <v>34.53</v>
      </c>
      <c r="I12">
        <v>3</v>
      </c>
      <c r="J12" s="2">
        <v>103.59</v>
      </c>
      <c r="L12" s="7" t="s">
        <v>9</v>
      </c>
      <c r="M12" s="8">
        <f>COUNTA(INDEX(Table1.Sales_Data[],0,MATCH(L12,Table1.Sales_Data[#Headers],0)))</f>
        <v>1006</v>
      </c>
      <c r="N12" s="9">
        <f>COUNTBLANK(INDEX(Table1.Sales_Data[],0,MATCH(L12,Table1.Sales_Data[#Headers],0)))</f>
        <v>0</v>
      </c>
      <c r="O12" s="5" t="str">
        <f>IF(TYPE(INDEX(Table1.Sales_Data[],0,MATCH(L12,Table1.Sales_Data[#Headers],0)))=1,"NUMBER",
IF(TYPE(INDEX(Table1.Sales_Data[],0,MATCH(L12,Table1.Sales_Data[#Headers],0)))=2,"TEXT",
IF(TYPE(INDEX(Table1.Sales_Data[],0,MATCH(L12,Table1.Sales_Data[#Headers],0)))=4,"LOGICAL",
IF(TYPE(INDEX(Table1.Sales_Data[],0,MATCH(L12,Table1.Sales_Data[#Headers],0)))=16,"ERROR",
"LAINNYA"))))</f>
        <v>NUMBER</v>
      </c>
      <c r="P12" s="76"/>
    </row>
    <row r="13" spans="1:16" x14ac:dyDescent="0.25">
      <c r="A13" t="s">
        <v>47</v>
      </c>
      <c r="B13" s="16">
        <v>45983</v>
      </c>
      <c r="C13" t="s">
        <v>30</v>
      </c>
      <c r="D13" t="s">
        <v>35</v>
      </c>
      <c r="E13" t="s">
        <v>13</v>
      </c>
      <c r="F13" t="s">
        <v>14</v>
      </c>
      <c r="G13" t="s">
        <v>20</v>
      </c>
      <c r="H13" s="2">
        <v>243.38</v>
      </c>
      <c r="I13">
        <v>12</v>
      </c>
      <c r="J13" s="2">
        <v>2920.56</v>
      </c>
    </row>
    <row r="14" spans="1:16" x14ac:dyDescent="0.25">
      <c r="A14" t="s">
        <v>48</v>
      </c>
      <c r="B14" s="16">
        <v>45794</v>
      </c>
      <c r="C14" t="s">
        <v>25</v>
      </c>
      <c r="D14" t="s">
        <v>12</v>
      </c>
      <c r="E14" t="s">
        <v>23</v>
      </c>
      <c r="F14" t="s">
        <v>42</v>
      </c>
      <c r="G14" t="s">
        <v>20</v>
      </c>
      <c r="H14" s="2">
        <v>213.14</v>
      </c>
      <c r="I14">
        <v>3</v>
      </c>
      <c r="J14" s="2">
        <v>639.41999999999996</v>
      </c>
    </row>
    <row r="15" spans="1:16" x14ac:dyDescent="0.25">
      <c r="A15" t="s">
        <v>49</v>
      </c>
      <c r="B15" s="16">
        <v>45783</v>
      </c>
      <c r="C15" t="s">
        <v>38</v>
      </c>
      <c r="D15" t="s">
        <v>31</v>
      </c>
      <c r="E15" t="s">
        <v>13</v>
      </c>
      <c r="F15" t="s">
        <v>28</v>
      </c>
      <c r="G15" t="s">
        <v>20</v>
      </c>
      <c r="H15" s="2">
        <v>76.709999999999994</v>
      </c>
      <c r="I15">
        <v>6</v>
      </c>
      <c r="J15" s="2">
        <v>460.26</v>
      </c>
    </row>
    <row r="16" spans="1:16" x14ac:dyDescent="0.25">
      <c r="A16" t="s">
        <v>50</v>
      </c>
      <c r="B16" s="16">
        <v>45943</v>
      </c>
      <c r="C16" t="s">
        <v>17</v>
      </c>
      <c r="D16" t="s">
        <v>35</v>
      </c>
      <c r="E16" t="s">
        <v>45</v>
      </c>
      <c r="F16" t="s">
        <v>14</v>
      </c>
      <c r="G16" t="s">
        <v>15</v>
      </c>
      <c r="H16" s="2">
        <v>70</v>
      </c>
      <c r="I16">
        <v>8</v>
      </c>
      <c r="J16" s="2">
        <v>560</v>
      </c>
    </row>
    <row r="17" spans="1:12" x14ac:dyDescent="0.25">
      <c r="A17" t="s">
        <v>51</v>
      </c>
      <c r="B17" s="16">
        <v>45819</v>
      </c>
      <c r="C17" t="s">
        <v>34</v>
      </c>
      <c r="D17" t="s">
        <v>22</v>
      </c>
      <c r="E17" t="s">
        <v>23</v>
      </c>
      <c r="F17" t="s">
        <v>42</v>
      </c>
      <c r="G17" t="s">
        <v>20</v>
      </c>
      <c r="H17" s="2">
        <v>70.349999999999994</v>
      </c>
      <c r="I17">
        <v>13</v>
      </c>
      <c r="J17" s="2">
        <v>914.55</v>
      </c>
    </row>
    <row r="18" spans="1:12" x14ac:dyDescent="0.25">
      <c r="A18" t="s">
        <v>52</v>
      </c>
      <c r="B18" s="16">
        <v>45819</v>
      </c>
      <c r="C18" t="s">
        <v>17</v>
      </c>
      <c r="D18" t="s">
        <v>31</v>
      </c>
      <c r="E18" t="s">
        <v>41</v>
      </c>
      <c r="F18" t="s">
        <v>28</v>
      </c>
      <c r="G18" t="s">
        <v>36</v>
      </c>
      <c r="H18" s="2">
        <v>96.93</v>
      </c>
      <c r="I18">
        <v>7</v>
      </c>
      <c r="J18" s="2">
        <v>678.51</v>
      </c>
    </row>
    <row r="19" spans="1:12" x14ac:dyDescent="0.25">
      <c r="A19" t="s">
        <v>53</v>
      </c>
      <c r="B19" s="16">
        <v>45731</v>
      </c>
      <c r="C19" t="s">
        <v>30</v>
      </c>
      <c r="D19" t="s">
        <v>26</v>
      </c>
      <c r="E19" t="s">
        <v>27</v>
      </c>
      <c r="F19" t="s">
        <v>42</v>
      </c>
      <c r="G19" t="s">
        <v>20</v>
      </c>
      <c r="H19" s="2">
        <v>145.44999999999999</v>
      </c>
      <c r="I19">
        <v>9</v>
      </c>
      <c r="J19" s="2">
        <v>1309.05</v>
      </c>
    </row>
    <row r="20" spans="1:12" x14ac:dyDescent="0.25">
      <c r="A20" t="s">
        <v>54</v>
      </c>
      <c r="B20" s="16">
        <v>45792</v>
      </c>
      <c r="C20" t="s">
        <v>38</v>
      </c>
      <c r="D20" t="s">
        <v>55</v>
      </c>
      <c r="E20" t="s">
        <v>41</v>
      </c>
      <c r="F20" t="s">
        <v>32</v>
      </c>
      <c r="G20" t="s">
        <v>15</v>
      </c>
      <c r="H20" s="2">
        <v>125.03</v>
      </c>
      <c r="I20">
        <v>19</v>
      </c>
      <c r="J20" s="2">
        <v>2375.5700000000002</v>
      </c>
    </row>
    <row r="21" spans="1:12" x14ac:dyDescent="0.25">
      <c r="A21" t="s">
        <v>56</v>
      </c>
      <c r="B21" s="16">
        <v>45728</v>
      </c>
      <c r="C21" t="s">
        <v>38</v>
      </c>
      <c r="D21" t="s">
        <v>22</v>
      </c>
      <c r="E21" t="s">
        <v>45</v>
      </c>
      <c r="F21" t="s">
        <v>39</v>
      </c>
      <c r="G21" t="s">
        <v>15</v>
      </c>
      <c r="H21" s="2">
        <v>94.07</v>
      </c>
      <c r="I21">
        <v>17</v>
      </c>
      <c r="J21" s="2">
        <v>1599.19</v>
      </c>
      <c r="L21" s="1"/>
    </row>
    <row r="22" spans="1:12" x14ac:dyDescent="0.25">
      <c r="A22" t="s">
        <v>57</v>
      </c>
      <c r="B22" s="16">
        <v>45736</v>
      </c>
      <c r="C22" t="s">
        <v>17</v>
      </c>
      <c r="D22" t="s">
        <v>31</v>
      </c>
      <c r="E22" t="s">
        <v>18</v>
      </c>
      <c r="F22" t="s">
        <v>19</v>
      </c>
      <c r="G22" t="s">
        <v>36</v>
      </c>
      <c r="H22" s="2">
        <v>164.61</v>
      </c>
      <c r="I22">
        <v>6</v>
      </c>
      <c r="J22" s="2">
        <v>987.66</v>
      </c>
      <c r="L22" s="1"/>
    </row>
    <row r="23" spans="1:12" x14ac:dyDescent="0.25">
      <c r="A23" t="s">
        <v>58</v>
      </c>
      <c r="B23" s="16">
        <v>45853</v>
      </c>
      <c r="C23" t="s">
        <v>38</v>
      </c>
      <c r="D23" t="s">
        <v>55</v>
      </c>
      <c r="E23" t="s">
        <v>13</v>
      </c>
      <c r="F23" t="s">
        <v>42</v>
      </c>
      <c r="G23" t="s">
        <v>15</v>
      </c>
      <c r="H23" s="2">
        <v>60.69</v>
      </c>
      <c r="I23">
        <v>20</v>
      </c>
      <c r="J23" s="2">
        <v>1213.8</v>
      </c>
      <c r="L23" s="1"/>
    </row>
    <row r="24" spans="1:12" x14ac:dyDescent="0.25">
      <c r="A24" t="s">
        <v>59</v>
      </c>
      <c r="B24" s="16">
        <v>46006</v>
      </c>
      <c r="C24" t="s">
        <v>17</v>
      </c>
      <c r="D24" t="s">
        <v>55</v>
      </c>
      <c r="E24" t="s">
        <v>13</v>
      </c>
      <c r="F24" t="s">
        <v>39</v>
      </c>
      <c r="G24" t="s">
        <v>20</v>
      </c>
      <c r="H24" s="2">
        <v>94.27</v>
      </c>
      <c r="I24">
        <v>4</v>
      </c>
      <c r="J24" s="2">
        <v>377.08</v>
      </c>
      <c r="L24" s="1"/>
    </row>
    <row r="25" spans="1:12" x14ac:dyDescent="0.25">
      <c r="A25" t="s">
        <v>60</v>
      </c>
      <c r="B25" s="16">
        <v>45832</v>
      </c>
      <c r="C25" t="s">
        <v>34</v>
      </c>
      <c r="D25" t="s">
        <v>31</v>
      </c>
      <c r="E25" t="s">
        <v>23</v>
      </c>
      <c r="F25" t="s">
        <v>61</v>
      </c>
      <c r="G25" t="s">
        <v>15</v>
      </c>
      <c r="H25" s="2">
        <v>110.6</v>
      </c>
      <c r="I25">
        <v>4</v>
      </c>
      <c r="J25" s="2">
        <v>442.4</v>
      </c>
      <c r="L25" s="1"/>
    </row>
    <row r="26" spans="1:12" x14ac:dyDescent="0.25">
      <c r="A26" t="s">
        <v>62</v>
      </c>
      <c r="B26" s="16">
        <v>45792</v>
      </c>
      <c r="C26" t="s">
        <v>30</v>
      </c>
      <c r="D26" t="s">
        <v>55</v>
      </c>
      <c r="E26" t="s">
        <v>45</v>
      </c>
      <c r="F26" t="s">
        <v>39</v>
      </c>
      <c r="G26" t="s">
        <v>20</v>
      </c>
      <c r="H26" s="2">
        <v>130.34</v>
      </c>
      <c r="I26">
        <v>17</v>
      </c>
      <c r="J26" s="2">
        <v>2215.7800000000002</v>
      </c>
    </row>
    <row r="27" spans="1:12" x14ac:dyDescent="0.25">
      <c r="A27" t="s">
        <v>63</v>
      </c>
      <c r="B27" s="16">
        <v>45810</v>
      </c>
      <c r="C27" t="s">
        <v>25</v>
      </c>
      <c r="D27" t="s">
        <v>26</v>
      </c>
      <c r="E27" t="s">
        <v>23</v>
      </c>
      <c r="F27" t="s">
        <v>32</v>
      </c>
      <c r="G27" t="s">
        <v>15</v>
      </c>
      <c r="H27" s="2">
        <v>202.74</v>
      </c>
      <c r="I27">
        <v>17</v>
      </c>
      <c r="J27" s="2">
        <v>3446.58</v>
      </c>
    </row>
    <row r="28" spans="1:12" x14ac:dyDescent="0.25">
      <c r="A28" t="s">
        <v>64</v>
      </c>
      <c r="B28" s="16">
        <v>45934</v>
      </c>
      <c r="C28" t="s">
        <v>11</v>
      </c>
      <c r="D28" t="s">
        <v>55</v>
      </c>
      <c r="E28" t="s">
        <v>13</v>
      </c>
      <c r="F28" t="s">
        <v>61</v>
      </c>
      <c r="G28" t="s">
        <v>15</v>
      </c>
      <c r="H28" s="2">
        <v>73.930000000000007</v>
      </c>
      <c r="I28">
        <v>17</v>
      </c>
      <c r="J28" s="2">
        <v>1256.81</v>
      </c>
    </row>
    <row r="29" spans="1:12" x14ac:dyDescent="0.25">
      <c r="A29" t="s">
        <v>65</v>
      </c>
      <c r="B29" s="16">
        <v>45715</v>
      </c>
      <c r="C29" t="s">
        <v>34</v>
      </c>
      <c r="D29" t="s">
        <v>26</v>
      </c>
      <c r="E29" t="s">
        <v>45</v>
      </c>
      <c r="F29" t="s">
        <v>14</v>
      </c>
      <c r="G29" t="s">
        <v>20</v>
      </c>
      <c r="H29" s="2">
        <v>143.13</v>
      </c>
      <c r="I29">
        <v>12</v>
      </c>
      <c r="J29" s="2">
        <v>1717.56</v>
      </c>
    </row>
    <row r="30" spans="1:12" x14ac:dyDescent="0.25">
      <c r="A30" t="s">
        <v>66</v>
      </c>
      <c r="B30" s="16">
        <v>45698</v>
      </c>
      <c r="C30" t="s">
        <v>17</v>
      </c>
      <c r="D30" t="s">
        <v>31</v>
      </c>
      <c r="E30" t="s">
        <v>45</v>
      </c>
      <c r="F30" t="s">
        <v>39</v>
      </c>
      <c r="G30" t="s">
        <v>20</v>
      </c>
      <c r="H30" s="2">
        <v>160.33000000000001</v>
      </c>
      <c r="I30">
        <v>3</v>
      </c>
      <c r="J30" s="2">
        <v>480.99</v>
      </c>
    </row>
    <row r="31" spans="1:12" x14ac:dyDescent="0.25">
      <c r="A31" t="s">
        <v>67</v>
      </c>
      <c r="B31" s="16">
        <v>45722</v>
      </c>
      <c r="C31" t="s">
        <v>17</v>
      </c>
      <c r="D31" t="s">
        <v>31</v>
      </c>
      <c r="E31" t="s">
        <v>18</v>
      </c>
      <c r="F31" t="s">
        <v>14</v>
      </c>
      <c r="G31" t="s">
        <v>36</v>
      </c>
      <c r="H31" s="2">
        <v>40.22</v>
      </c>
      <c r="I31">
        <v>5</v>
      </c>
      <c r="J31" s="2">
        <v>201.1</v>
      </c>
    </row>
    <row r="32" spans="1:12" x14ac:dyDescent="0.25">
      <c r="A32" t="s">
        <v>68</v>
      </c>
      <c r="B32" s="16">
        <v>45928</v>
      </c>
      <c r="C32" t="s">
        <v>38</v>
      </c>
      <c r="D32" t="s">
        <v>26</v>
      </c>
      <c r="E32" t="s">
        <v>18</v>
      </c>
      <c r="F32" t="s">
        <v>39</v>
      </c>
      <c r="G32" t="s">
        <v>20</v>
      </c>
      <c r="H32" s="2">
        <v>163.66</v>
      </c>
      <c r="I32">
        <v>20</v>
      </c>
      <c r="J32" s="2">
        <v>3273.2</v>
      </c>
    </row>
    <row r="33" spans="1:10" x14ac:dyDescent="0.25">
      <c r="A33" t="s">
        <v>69</v>
      </c>
      <c r="B33" s="16">
        <v>46011</v>
      </c>
      <c r="C33" t="s">
        <v>17</v>
      </c>
      <c r="D33" t="s">
        <v>35</v>
      </c>
      <c r="E33" t="s">
        <v>41</v>
      </c>
      <c r="F33" t="s">
        <v>28</v>
      </c>
      <c r="G33" t="s">
        <v>20</v>
      </c>
      <c r="H33" s="2">
        <v>67.52</v>
      </c>
      <c r="I33">
        <v>7</v>
      </c>
      <c r="J33" s="2">
        <v>472.64</v>
      </c>
    </row>
    <row r="34" spans="1:10" x14ac:dyDescent="0.25">
      <c r="A34" t="s">
        <v>70</v>
      </c>
      <c r="B34" s="16">
        <v>45849</v>
      </c>
      <c r="C34" t="s">
        <v>25</v>
      </c>
      <c r="D34" t="s">
        <v>31</v>
      </c>
      <c r="E34" t="s">
        <v>45</v>
      </c>
      <c r="F34" t="s">
        <v>14</v>
      </c>
      <c r="G34" t="s">
        <v>15</v>
      </c>
      <c r="H34" s="2">
        <v>44.31</v>
      </c>
      <c r="I34">
        <v>15</v>
      </c>
      <c r="J34" s="2">
        <v>664.65</v>
      </c>
    </row>
    <row r="35" spans="1:10" x14ac:dyDescent="0.25">
      <c r="A35" t="s">
        <v>71</v>
      </c>
      <c r="B35" s="16">
        <v>45690</v>
      </c>
      <c r="C35" t="s">
        <v>11</v>
      </c>
      <c r="D35" t="s">
        <v>55</v>
      </c>
      <c r="E35" t="s">
        <v>18</v>
      </c>
      <c r="F35" t="s">
        <v>14</v>
      </c>
      <c r="G35" t="s">
        <v>20</v>
      </c>
      <c r="H35" s="2">
        <v>238.75</v>
      </c>
      <c r="I35">
        <v>11</v>
      </c>
      <c r="J35" s="2">
        <v>2626.25</v>
      </c>
    </row>
    <row r="36" spans="1:10" x14ac:dyDescent="0.25">
      <c r="A36" t="s">
        <v>72</v>
      </c>
      <c r="B36" s="16">
        <v>45770</v>
      </c>
      <c r="C36" t="s">
        <v>11</v>
      </c>
      <c r="D36" t="s">
        <v>12</v>
      </c>
      <c r="E36" t="s">
        <v>27</v>
      </c>
      <c r="F36" t="s">
        <v>19</v>
      </c>
      <c r="G36" t="s">
        <v>15</v>
      </c>
      <c r="H36" s="2">
        <v>242.44</v>
      </c>
      <c r="I36">
        <v>1</v>
      </c>
      <c r="J36" s="2">
        <v>242.44</v>
      </c>
    </row>
    <row r="37" spans="1:10" x14ac:dyDescent="0.25">
      <c r="A37" t="s">
        <v>73</v>
      </c>
      <c r="B37" s="16">
        <v>45692</v>
      </c>
      <c r="C37" t="s">
        <v>34</v>
      </c>
      <c r="D37" t="s">
        <v>22</v>
      </c>
      <c r="E37" t="s">
        <v>18</v>
      </c>
      <c r="F37" t="s">
        <v>14</v>
      </c>
      <c r="G37" t="s">
        <v>36</v>
      </c>
      <c r="H37" s="2">
        <v>207.85</v>
      </c>
      <c r="I37">
        <v>2</v>
      </c>
      <c r="J37" s="2">
        <v>415.7</v>
      </c>
    </row>
    <row r="38" spans="1:10" x14ac:dyDescent="0.25">
      <c r="A38" t="s">
        <v>74</v>
      </c>
      <c r="B38" s="16">
        <v>46000</v>
      </c>
      <c r="C38" t="s">
        <v>30</v>
      </c>
      <c r="D38" t="s">
        <v>55</v>
      </c>
      <c r="E38" t="s">
        <v>23</v>
      </c>
      <c r="F38" t="s">
        <v>28</v>
      </c>
      <c r="G38" t="s">
        <v>20</v>
      </c>
      <c r="H38" s="2">
        <v>97.02</v>
      </c>
      <c r="I38">
        <v>16</v>
      </c>
      <c r="J38" s="2">
        <v>1552.32</v>
      </c>
    </row>
    <row r="39" spans="1:10" x14ac:dyDescent="0.25">
      <c r="A39" t="s">
        <v>75</v>
      </c>
      <c r="B39" s="16">
        <v>45953</v>
      </c>
      <c r="C39" t="s">
        <v>30</v>
      </c>
      <c r="D39" t="s">
        <v>31</v>
      </c>
      <c r="E39" t="s">
        <v>41</v>
      </c>
      <c r="F39" t="s">
        <v>14</v>
      </c>
      <c r="G39" t="s">
        <v>15</v>
      </c>
      <c r="H39" s="2">
        <v>51.49</v>
      </c>
      <c r="I39">
        <v>16</v>
      </c>
      <c r="J39" s="2">
        <v>823.84</v>
      </c>
    </row>
    <row r="40" spans="1:10" x14ac:dyDescent="0.25">
      <c r="A40" t="s">
        <v>76</v>
      </c>
      <c r="B40" s="16">
        <v>45707</v>
      </c>
      <c r="C40" t="s">
        <v>34</v>
      </c>
      <c r="D40" t="s">
        <v>31</v>
      </c>
      <c r="E40" t="s">
        <v>41</v>
      </c>
      <c r="F40" t="s">
        <v>61</v>
      </c>
      <c r="G40" t="s">
        <v>20</v>
      </c>
      <c r="H40" s="2">
        <v>180.53</v>
      </c>
      <c r="I40">
        <v>14</v>
      </c>
      <c r="J40" s="2">
        <v>2527.42</v>
      </c>
    </row>
    <row r="41" spans="1:10" x14ac:dyDescent="0.25">
      <c r="A41" t="s">
        <v>77</v>
      </c>
      <c r="B41" s="16">
        <v>45685</v>
      </c>
      <c r="C41" t="s">
        <v>11</v>
      </c>
      <c r="D41" t="s">
        <v>31</v>
      </c>
      <c r="E41" t="s">
        <v>27</v>
      </c>
      <c r="F41" t="s">
        <v>32</v>
      </c>
      <c r="G41" t="s">
        <v>15</v>
      </c>
      <c r="H41" s="2">
        <v>126.83</v>
      </c>
      <c r="I41">
        <v>4</v>
      </c>
      <c r="J41" s="2">
        <v>507.32</v>
      </c>
    </row>
    <row r="42" spans="1:10" x14ac:dyDescent="0.25">
      <c r="A42" t="s">
        <v>78</v>
      </c>
      <c r="B42" s="16">
        <v>45785</v>
      </c>
      <c r="C42" t="s">
        <v>30</v>
      </c>
      <c r="D42" t="s">
        <v>55</v>
      </c>
      <c r="E42" t="s">
        <v>41</v>
      </c>
      <c r="F42" t="s">
        <v>14</v>
      </c>
      <c r="G42" t="s">
        <v>36</v>
      </c>
      <c r="H42" s="2">
        <v>56.85</v>
      </c>
      <c r="I42">
        <v>7</v>
      </c>
      <c r="J42" s="2">
        <v>397.95</v>
      </c>
    </row>
    <row r="43" spans="1:10" x14ac:dyDescent="0.25">
      <c r="A43" t="s">
        <v>79</v>
      </c>
      <c r="B43" s="16">
        <v>45751</v>
      </c>
      <c r="C43" t="s">
        <v>38</v>
      </c>
      <c r="D43" t="s">
        <v>26</v>
      </c>
      <c r="E43" t="s">
        <v>45</v>
      </c>
      <c r="F43" t="s">
        <v>61</v>
      </c>
      <c r="G43" t="s">
        <v>20</v>
      </c>
      <c r="H43" s="2">
        <v>138.94</v>
      </c>
      <c r="I43">
        <v>9</v>
      </c>
      <c r="J43" s="2">
        <v>1250.46</v>
      </c>
    </row>
    <row r="44" spans="1:10" x14ac:dyDescent="0.25">
      <c r="A44" t="s">
        <v>80</v>
      </c>
      <c r="B44" s="16">
        <v>45708</v>
      </c>
      <c r="C44" t="s">
        <v>17</v>
      </c>
      <c r="D44" t="s">
        <v>55</v>
      </c>
      <c r="E44" t="s">
        <v>45</v>
      </c>
      <c r="F44" t="s">
        <v>19</v>
      </c>
      <c r="G44" t="s">
        <v>15</v>
      </c>
      <c r="H44" s="2">
        <v>37.57</v>
      </c>
      <c r="I44">
        <v>2</v>
      </c>
      <c r="J44" s="2">
        <v>75.14</v>
      </c>
    </row>
    <row r="45" spans="1:10" x14ac:dyDescent="0.25">
      <c r="A45" t="s">
        <v>81</v>
      </c>
      <c r="B45" s="16">
        <v>45743</v>
      </c>
      <c r="C45" t="s">
        <v>38</v>
      </c>
      <c r="D45" t="s">
        <v>31</v>
      </c>
      <c r="E45" t="s">
        <v>23</v>
      </c>
      <c r="F45" t="s">
        <v>39</v>
      </c>
      <c r="G45" t="s">
        <v>36</v>
      </c>
      <c r="H45" s="2">
        <v>230.05</v>
      </c>
      <c r="I45">
        <v>14</v>
      </c>
      <c r="J45" s="2">
        <v>3220.7</v>
      </c>
    </row>
    <row r="46" spans="1:10" x14ac:dyDescent="0.25">
      <c r="A46" t="s">
        <v>82</v>
      </c>
      <c r="B46" s="16">
        <v>45688</v>
      </c>
      <c r="C46" t="s">
        <v>38</v>
      </c>
      <c r="D46" t="s">
        <v>22</v>
      </c>
      <c r="E46" t="s">
        <v>41</v>
      </c>
      <c r="F46" t="s">
        <v>32</v>
      </c>
      <c r="G46" t="s">
        <v>36</v>
      </c>
      <c r="H46" s="2">
        <v>86.93</v>
      </c>
      <c r="I46">
        <v>6</v>
      </c>
      <c r="J46" s="2">
        <v>521.58000000000004</v>
      </c>
    </row>
    <row r="47" spans="1:10" x14ac:dyDescent="0.25">
      <c r="A47" t="s">
        <v>83</v>
      </c>
      <c r="B47" s="16">
        <v>45804</v>
      </c>
      <c r="C47" t="s">
        <v>17</v>
      </c>
      <c r="D47" t="s">
        <v>12</v>
      </c>
      <c r="E47" t="s">
        <v>18</v>
      </c>
      <c r="F47" t="s">
        <v>28</v>
      </c>
      <c r="G47" t="s">
        <v>20</v>
      </c>
      <c r="H47" s="2">
        <v>175.75</v>
      </c>
      <c r="I47">
        <v>14</v>
      </c>
      <c r="J47" s="2">
        <v>2460.5</v>
      </c>
    </row>
    <row r="48" spans="1:10" x14ac:dyDescent="0.25">
      <c r="A48" t="s">
        <v>84</v>
      </c>
      <c r="B48" s="16">
        <v>45907</v>
      </c>
      <c r="C48" t="s">
        <v>30</v>
      </c>
      <c r="D48" t="s">
        <v>35</v>
      </c>
      <c r="E48" t="s">
        <v>23</v>
      </c>
      <c r="F48" t="s">
        <v>19</v>
      </c>
      <c r="G48" t="s">
        <v>20</v>
      </c>
      <c r="H48" s="2">
        <v>98.58</v>
      </c>
      <c r="I48">
        <v>5</v>
      </c>
      <c r="J48" s="2">
        <v>492.9</v>
      </c>
    </row>
    <row r="49" spans="1:10" x14ac:dyDescent="0.25">
      <c r="A49" t="s">
        <v>85</v>
      </c>
      <c r="B49" s="16">
        <v>45935</v>
      </c>
      <c r="C49" t="s">
        <v>17</v>
      </c>
      <c r="D49" t="s">
        <v>35</v>
      </c>
      <c r="E49" t="s">
        <v>45</v>
      </c>
      <c r="F49" t="s">
        <v>19</v>
      </c>
      <c r="G49" t="s">
        <v>20</v>
      </c>
      <c r="H49" s="2">
        <v>144.41</v>
      </c>
      <c r="I49">
        <v>2</v>
      </c>
      <c r="J49" s="2">
        <v>288.82</v>
      </c>
    </row>
    <row r="50" spans="1:10" x14ac:dyDescent="0.25">
      <c r="A50" t="s">
        <v>86</v>
      </c>
      <c r="B50" s="16">
        <v>45902</v>
      </c>
      <c r="C50" t="s">
        <v>25</v>
      </c>
      <c r="D50" t="s">
        <v>26</v>
      </c>
      <c r="E50" t="s">
        <v>45</v>
      </c>
      <c r="F50" t="s">
        <v>42</v>
      </c>
      <c r="G50" t="s">
        <v>15</v>
      </c>
      <c r="H50" s="2">
        <v>150.28</v>
      </c>
      <c r="I50">
        <v>17</v>
      </c>
      <c r="J50" s="2">
        <v>2554.7600000000002</v>
      </c>
    </row>
    <row r="51" spans="1:10" x14ac:dyDescent="0.25">
      <c r="A51" t="s">
        <v>87</v>
      </c>
      <c r="B51" s="16">
        <v>45753</v>
      </c>
      <c r="C51" t="s">
        <v>25</v>
      </c>
      <c r="D51" t="s">
        <v>22</v>
      </c>
      <c r="E51" t="s">
        <v>27</v>
      </c>
      <c r="F51" t="s">
        <v>39</v>
      </c>
      <c r="G51" t="s">
        <v>15</v>
      </c>
      <c r="H51" s="2">
        <v>70.67</v>
      </c>
      <c r="I51">
        <v>3</v>
      </c>
      <c r="J51" s="2">
        <v>212.01</v>
      </c>
    </row>
    <row r="52" spans="1:10" x14ac:dyDescent="0.25">
      <c r="A52" t="s">
        <v>88</v>
      </c>
      <c r="B52" s="16">
        <v>45864</v>
      </c>
      <c r="C52" t="s">
        <v>25</v>
      </c>
      <c r="D52" t="s">
        <v>26</v>
      </c>
      <c r="E52" t="s">
        <v>18</v>
      </c>
      <c r="F52" t="s">
        <v>42</v>
      </c>
      <c r="G52" t="s">
        <v>15</v>
      </c>
      <c r="H52" s="2">
        <v>243.31</v>
      </c>
      <c r="I52">
        <v>4</v>
      </c>
      <c r="J52" s="2">
        <v>973.24</v>
      </c>
    </row>
    <row r="53" spans="1:10" x14ac:dyDescent="0.25">
      <c r="A53" t="s">
        <v>89</v>
      </c>
      <c r="B53" s="16">
        <v>45975</v>
      </c>
      <c r="C53" t="s">
        <v>38</v>
      </c>
      <c r="D53" t="s">
        <v>12</v>
      </c>
      <c r="E53" t="s">
        <v>18</v>
      </c>
      <c r="F53" t="s">
        <v>42</v>
      </c>
      <c r="G53" t="s">
        <v>20</v>
      </c>
      <c r="H53" s="2">
        <v>200.53</v>
      </c>
      <c r="I53">
        <v>3</v>
      </c>
      <c r="J53" s="2">
        <v>601.59</v>
      </c>
    </row>
    <row r="54" spans="1:10" x14ac:dyDescent="0.25">
      <c r="A54" t="s">
        <v>90</v>
      </c>
      <c r="B54" s="16">
        <v>45819</v>
      </c>
      <c r="C54" t="s">
        <v>30</v>
      </c>
      <c r="D54" t="s">
        <v>12</v>
      </c>
      <c r="E54" t="s">
        <v>27</v>
      </c>
      <c r="F54" t="s">
        <v>32</v>
      </c>
      <c r="G54" t="s">
        <v>15</v>
      </c>
      <c r="H54" s="2">
        <v>236.69</v>
      </c>
      <c r="I54">
        <v>9</v>
      </c>
      <c r="J54" s="2">
        <v>2130.21</v>
      </c>
    </row>
    <row r="55" spans="1:10" x14ac:dyDescent="0.25">
      <c r="A55" t="s">
        <v>91</v>
      </c>
      <c r="B55" s="16">
        <v>45793</v>
      </c>
      <c r="C55" t="s">
        <v>30</v>
      </c>
      <c r="D55" t="s">
        <v>12</v>
      </c>
      <c r="E55" t="s">
        <v>27</v>
      </c>
      <c r="F55" t="s">
        <v>32</v>
      </c>
      <c r="G55" t="s">
        <v>36</v>
      </c>
      <c r="H55" s="2">
        <v>226.86</v>
      </c>
      <c r="I55">
        <v>13</v>
      </c>
      <c r="J55" s="2">
        <v>2949.18</v>
      </c>
    </row>
    <row r="56" spans="1:10" x14ac:dyDescent="0.25">
      <c r="A56" t="s">
        <v>92</v>
      </c>
      <c r="B56" s="16">
        <v>45819</v>
      </c>
      <c r="C56" t="s">
        <v>11</v>
      </c>
      <c r="D56" t="s">
        <v>31</v>
      </c>
      <c r="E56" t="s">
        <v>18</v>
      </c>
      <c r="F56" t="s">
        <v>42</v>
      </c>
      <c r="G56" t="s">
        <v>15</v>
      </c>
      <c r="H56" s="2">
        <v>161.54</v>
      </c>
      <c r="I56">
        <v>3</v>
      </c>
      <c r="J56" s="2">
        <v>484.62</v>
      </c>
    </row>
    <row r="57" spans="1:10" x14ac:dyDescent="0.25">
      <c r="A57" t="s">
        <v>93</v>
      </c>
      <c r="B57" s="16">
        <v>45695</v>
      </c>
      <c r="C57" t="s">
        <v>30</v>
      </c>
      <c r="D57" t="s">
        <v>55</v>
      </c>
      <c r="E57" t="s">
        <v>13</v>
      </c>
      <c r="F57" t="s">
        <v>14</v>
      </c>
      <c r="G57" t="s">
        <v>36</v>
      </c>
      <c r="H57" s="2">
        <v>232.81</v>
      </c>
      <c r="I57">
        <v>18</v>
      </c>
      <c r="J57" s="2">
        <v>4190.58</v>
      </c>
    </row>
    <row r="58" spans="1:10" x14ac:dyDescent="0.25">
      <c r="A58" t="s">
        <v>94</v>
      </c>
      <c r="B58" s="16">
        <v>45693</v>
      </c>
      <c r="C58" t="s">
        <v>34</v>
      </c>
      <c r="D58" t="s">
        <v>35</v>
      </c>
      <c r="E58" t="s">
        <v>23</v>
      </c>
      <c r="F58" t="s">
        <v>61</v>
      </c>
      <c r="G58" t="s">
        <v>20</v>
      </c>
      <c r="H58" s="2">
        <v>49.47</v>
      </c>
      <c r="I58">
        <v>8</v>
      </c>
      <c r="J58" s="2">
        <v>395.76</v>
      </c>
    </row>
    <row r="59" spans="1:10" x14ac:dyDescent="0.25">
      <c r="A59" t="s">
        <v>95</v>
      </c>
      <c r="B59" s="16">
        <v>46018</v>
      </c>
      <c r="C59" t="s">
        <v>25</v>
      </c>
      <c r="D59" t="s">
        <v>12</v>
      </c>
      <c r="E59" t="s">
        <v>18</v>
      </c>
      <c r="F59" t="s">
        <v>19</v>
      </c>
      <c r="G59" t="s">
        <v>20</v>
      </c>
      <c r="H59" s="2">
        <v>73.12</v>
      </c>
      <c r="I59">
        <v>10</v>
      </c>
      <c r="J59" s="2">
        <v>731.2</v>
      </c>
    </row>
    <row r="60" spans="1:10" x14ac:dyDescent="0.25">
      <c r="A60" t="s">
        <v>96</v>
      </c>
      <c r="B60" s="16">
        <v>45941</v>
      </c>
      <c r="C60" t="s">
        <v>17</v>
      </c>
      <c r="D60" t="s">
        <v>22</v>
      </c>
      <c r="E60" t="s">
        <v>23</v>
      </c>
      <c r="F60" t="s">
        <v>32</v>
      </c>
      <c r="G60" t="s">
        <v>15</v>
      </c>
      <c r="H60" s="2">
        <v>39.950000000000003</v>
      </c>
      <c r="I60">
        <v>10</v>
      </c>
      <c r="J60" s="2">
        <v>399.5</v>
      </c>
    </row>
    <row r="61" spans="1:10" x14ac:dyDescent="0.25">
      <c r="A61" t="s">
        <v>97</v>
      </c>
      <c r="B61" s="16">
        <v>45712</v>
      </c>
      <c r="C61" t="s">
        <v>30</v>
      </c>
      <c r="D61" t="s">
        <v>35</v>
      </c>
      <c r="E61" t="s">
        <v>13</v>
      </c>
      <c r="F61" t="s">
        <v>42</v>
      </c>
      <c r="G61" t="s">
        <v>15</v>
      </c>
      <c r="H61" s="2">
        <v>101.57</v>
      </c>
      <c r="I61">
        <v>18</v>
      </c>
      <c r="J61" s="2">
        <v>1828.26</v>
      </c>
    </row>
    <row r="62" spans="1:10" x14ac:dyDescent="0.25">
      <c r="A62" t="s">
        <v>98</v>
      </c>
      <c r="B62" s="16">
        <v>45833</v>
      </c>
      <c r="C62" t="s">
        <v>17</v>
      </c>
      <c r="D62" t="s">
        <v>12</v>
      </c>
      <c r="E62" t="s">
        <v>13</v>
      </c>
      <c r="F62" t="s">
        <v>42</v>
      </c>
      <c r="G62" t="s">
        <v>36</v>
      </c>
      <c r="H62" s="2">
        <v>115.51</v>
      </c>
      <c r="I62">
        <v>7</v>
      </c>
      <c r="J62" s="2">
        <v>808.57</v>
      </c>
    </row>
    <row r="63" spans="1:10" x14ac:dyDescent="0.25">
      <c r="A63" t="s">
        <v>99</v>
      </c>
      <c r="B63" s="16">
        <v>45786</v>
      </c>
      <c r="C63" t="s">
        <v>11</v>
      </c>
      <c r="D63" t="s">
        <v>12</v>
      </c>
      <c r="E63" t="s">
        <v>41</v>
      </c>
      <c r="F63" t="s">
        <v>39</v>
      </c>
      <c r="G63" t="s">
        <v>36</v>
      </c>
      <c r="H63" s="2">
        <v>89.7</v>
      </c>
      <c r="I63">
        <v>2</v>
      </c>
      <c r="J63" s="2">
        <v>179.4</v>
      </c>
    </row>
    <row r="64" spans="1:10" x14ac:dyDescent="0.25">
      <c r="A64" t="s">
        <v>100</v>
      </c>
      <c r="B64" s="16">
        <v>45680</v>
      </c>
      <c r="C64" t="s">
        <v>34</v>
      </c>
      <c r="D64" t="s">
        <v>26</v>
      </c>
      <c r="E64" t="s">
        <v>27</v>
      </c>
      <c r="F64" t="s">
        <v>32</v>
      </c>
      <c r="G64" t="s">
        <v>15</v>
      </c>
      <c r="H64" s="2">
        <v>212.32</v>
      </c>
      <c r="I64">
        <v>1</v>
      </c>
      <c r="J64" s="2">
        <v>212.32</v>
      </c>
    </row>
    <row r="65" spans="1:10" x14ac:dyDescent="0.25">
      <c r="A65" t="s">
        <v>101</v>
      </c>
      <c r="B65" s="16">
        <v>45884</v>
      </c>
      <c r="C65" t="s">
        <v>17</v>
      </c>
      <c r="D65" t="s">
        <v>31</v>
      </c>
      <c r="E65" t="s">
        <v>18</v>
      </c>
      <c r="F65" t="s">
        <v>19</v>
      </c>
      <c r="G65" t="s">
        <v>15</v>
      </c>
      <c r="H65" s="2">
        <v>108.49</v>
      </c>
      <c r="I65">
        <v>18</v>
      </c>
      <c r="J65" s="2">
        <v>1952.82</v>
      </c>
    </row>
    <row r="66" spans="1:10" x14ac:dyDescent="0.25">
      <c r="A66" t="s">
        <v>102</v>
      </c>
      <c r="B66" s="16">
        <v>45696</v>
      </c>
      <c r="C66" t="s">
        <v>25</v>
      </c>
      <c r="D66" t="s">
        <v>22</v>
      </c>
      <c r="E66" t="s">
        <v>13</v>
      </c>
      <c r="F66" t="s">
        <v>42</v>
      </c>
      <c r="G66" t="s">
        <v>20</v>
      </c>
      <c r="H66" s="2">
        <v>91.81</v>
      </c>
      <c r="I66">
        <v>5</v>
      </c>
      <c r="J66" s="2">
        <v>459.05</v>
      </c>
    </row>
    <row r="67" spans="1:10" x14ac:dyDescent="0.25">
      <c r="A67" t="s">
        <v>103</v>
      </c>
      <c r="B67" s="16">
        <v>45733</v>
      </c>
      <c r="C67" t="s">
        <v>30</v>
      </c>
      <c r="D67" t="s">
        <v>22</v>
      </c>
      <c r="E67" t="s">
        <v>13</v>
      </c>
      <c r="F67" t="s">
        <v>32</v>
      </c>
      <c r="G67" t="s">
        <v>15</v>
      </c>
      <c r="H67" s="2">
        <v>149.38999999999999</v>
      </c>
      <c r="I67">
        <v>14</v>
      </c>
      <c r="J67" s="2">
        <v>2091.46</v>
      </c>
    </row>
    <row r="68" spans="1:10" x14ac:dyDescent="0.25">
      <c r="A68" t="s">
        <v>104</v>
      </c>
      <c r="B68" s="16">
        <v>45841</v>
      </c>
      <c r="C68" t="s">
        <v>17</v>
      </c>
      <c r="D68" t="s">
        <v>26</v>
      </c>
      <c r="E68" t="s">
        <v>27</v>
      </c>
      <c r="F68" t="s">
        <v>19</v>
      </c>
      <c r="G68" t="s">
        <v>36</v>
      </c>
      <c r="H68" s="2">
        <v>61</v>
      </c>
      <c r="I68">
        <v>7</v>
      </c>
      <c r="J68" s="2">
        <v>427</v>
      </c>
    </row>
    <row r="69" spans="1:10" x14ac:dyDescent="0.25">
      <c r="A69" t="s">
        <v>105</v>
      </c>
      <c r="B69" s="16">
        <v>45944</v>
      </c>
      <c r="C69" t="s">
        <v>25</v>
      </c>
      <c r="D69" t="s">
        <v>12</v>
      </c>
      <c r="E69" t="s">
        <v>23</v>
      </c>
      <c r="F69" t="s">
        <v>14</v>
      </c>
      <c r="G69" t="s">
        <v>15</v>
      </c>
      <c r="H69" s="2">
        <v>206.48</v>
      </c>
      <c r="I69">
        <v>14</v>
      </c>
      <c r="J69" s="2">
        <v>2890.72</v>
      </c>
    </row>
    <row r="70" spans="1:10" x14ac:dyDescent="0.25">
      <c r="A70" t="s">
        <v>106</v>
      </c>
      <c r="B70" s="16">
        <v>45748</v>
      </c>
      <c r="C70" t="s">
        <v>11</v>
      </c>
      <c r="D70" t="s">
        <v>26</v>
      </c>
      <c r="E70" t="s">
        <v>27</v>
      </c>
      <c r="F70" t="s">
        <v>32</v>
      </c>
      <c r="G70" t="s">
        <v>36</v>
      </c>
      <c r="H70" s="2">
        <v>46.4</v>
      </c>
      <c r="I70">
        <v>14</v>
      </c>
      <c r="J70" s="2">
        <v>649.6</v>
      </c>
    </row>
    <row r="71" spans="1:10" x14ac:dyDescent="0.25">
      <c r="A71" t="s">
        <v>107</v>
      </c>
      <c r="B71" s="16">
        <v>46000</v>
      </c>
      <c r="C71" t="s">
        <v>34</v>
      </c>
      <c r="D71" t="s">
        <v>26</v>
      </c>
      <c r="E71" t="s">
        <v>27</v>
      </c>
      <c r="F71" t="s">
        <v>19</v>
      </c>
      <c r="G71" t="s">
        <v>36</v>
      </c>
      <c r="H71" s="2">
        <v>247.12</v>
      </c>
      <c r="I71">
        <v>8</v>
      </c>
      <c r="J71" s="2">
        <v>1976.96</v>
      </c>
    </row>
    <row r="72" spans="1:10" x14ac:dyDescent="0.25">
      <c r="A72" t="s">
        <v>108</v>
      </c>
      <c r="B72" s="16">
        <v>45677</v>
      </c>
      <c r="C72" t="s">
        <v>30</v>
      </c>
      <c r="D72" t="s">
        <v>26</v>
      </c>
      <c r="E72" t="s">
        <v>41</v>
      </c>
      <c r="F72" t="s">
        <v>32</v>
      </c>
      <c r="G72" t="s">
        <v>36</v>
      </c>
      <c r="H72" s="2">
        <v>199.89</v>
      </c>
      <c r="I72">
        <v>16</v>
      </c>
      <c r="J72" s="2">
        <v>3198.24</v>
      </c>
    </row>
    <row r="73" spans="1:10" x14ac:dyDescent="0.25">
      <c r="A73" t="s">
        <v>109</v>
      </c>
      <c r="B73" s="16">
        <v>45774</v>
      </c>
      <c r="C73" t="s">
        <v>11</v>
      </c>
      <c r="D73" t="s">
        <v>12</v>
      </c>
      <c r="E73" t="s">
        <v>23</v>
      </c>
      <c r="F73" t="s">
        <v>61</v>
      </c>
      <c r="G73" t="s">
        <v>36</v>
      </c>
      <c r="H73" s="2">
        <v>73.72</v>
      </c>
      <c r="I73">
        <v>8</v>
      </c>
      <c r="J73" s="2">
        <v>589.76</v>
      </c>
    </row>
    <row r="74" spans="1:10" x14ac:dyDescent="0.25">
      <c r="A74" t="s">
        <v>110</v>
      </c>
      <c r="B74" s="16">
        <v>45800</v>
      </c>
      <c r="C74" t="s">
        <v>34</v>
      </c>
      <c r="D74" t="s">
        <v>35</v>
      </c>
      <c r="E74" t="s">
        <v>27</v>
      </c>
      <c r="F74" t="s">
        <v>42</v>
      </c>
      <c r="G74" t="s">
        <v>36</v>
      </c>
      <c r="H74" s="2">
        <v>31.21</v>
      </c>
      <c r="I74">
        <v>3</v>
      </c>
      <c r="J74" s="2">
        <v>93.63</v>
      </c>
    </row>
    <row r="75" spans="1:10" x14ac:dyDescent="0.25">
      <c r="A75" t="s">
        <v>111</v>
      </c>
      <c r="B75" s="16">
        <v>46005</v>
      </c>
      <c r="C75" t="s">
        <v>34</v>
      </c>
      <c r="D75" t="s">
        <v>22</v>
      </c>
      <c r="E75" t="s">
        <v>45</v>
      </c>
      <c r="F75" t="s">
        <v>32</v>
      </c>
      <c r="G75" t="s">
        <v>15</v>
      </c>
      <c r="H75" s="2">
        <v>209.4</v>
      </c>
      <c r="I75">
        <v>18</v>
      </c>
      <c r="J75" s="2">
        <v>3769.2</v>
      </c>
    </row>
    <row r="76" spans="1:10" x14ac:dyDescent="0.25">
      <c r="A76" t="s">
        <v>112</v>
      </c>
      <c r="B76" s="16">
        <v>45955</v>
      </c>
      <c r="C76" t="s">
        <v>11</v>
      </c>
      <c r="D76" t="s">
        <v>22</v>
      </c>
      <c r="E76" t="s">
        <v>18</v>
      </c>
      <c r="F76" t="s">
        <v>61</v>
      </c>
      <c r="G76" t="s">
        <v>36</v>
      </c>
      <c r="H76" s="2">
        <v>185.51</v>
      </c>
      <c r="I76">
        <v>9</v>
      </c>
      <c r="J76" s="2">
        <v>1669.59</v>
      </c>
    </row>
    <row r="77" spans="1:10" x14ac:dyDescent="0.25">
      <c r="A77" t="s">
        <v>113</v>
      </c>
      <c r="B77" s="16">
        <v>45818</v>
      </c>
      <c r="C77" t="s">
        <v>25</v>
      </c>
      <c r="D77" t="s">
        <v>55</v>
      </c>
      <c r="E77" t="s">
        <v>45</v>
      </c>
      <c r="F77" t="s">
        <v>61</v>
      </c>
      <c r="G77" t="s">
        <v>20</v>
      </c>
      <c r="H77" s="2">
        <v>190.38</v>
      </c>
      <c r="I77">
        <v>14</v>
      </c>
      <c r="J77" s="2">
        <v>2665.32</v>
      </c>
    </row>
    <row r="78" spans="1:10" x14ac:dyDescent="0.25">
      <c r="A78" t="s">
        <v>114</v>
      </c>
      <c r="B78" s="16">
        <v>45755</v>
      </c>
      <c r="C78" t="s">
        <v>11</v>
      </c>
      <c r="D78" t="s">
        <v>12</v>
      </c>
      <c r="E78" t="s">
        <v>41</v>
      </c>
      <c r="F78" t="s">
        <v>19</v>
      </c>
      <c r="G78" t="s">
        <v>20</v>
      </c>
      <c r="H78" s="2">
        <v>199.68</v>
      </c>
      <c r="I78">
        <v>9</v>
      </c>
      <c r="J78" s="2">
        <v>1797.12</v>
      </c>
    </row>
    <row r="79" spans="1:10" x14ac:dyDescent="0.25">
      <c r="A79" t="s">
        <v>115</v>
      </c>
      <c r="B79" s="16">
        <v>45933</v>
      </c>
      <c r="C79" t="s">
        <v>34</v>
      </c>
      <c r="D79" t="s">
        <v>31</v>
      </c>
      <c r="E79" t="s">
        <v>45</v>
      </c>
      <c r="F79" t="s">
        <v>28</v>
      </c>
      <c r="G79" t="s">
        <v>36</v>
      </c>
      <c r="H79" s="2">
        <v>46.29</v>
      </c>
      <c r="I79">
        <v>7</v>
      </c>
      <c r="J79" s="2">
        <v>324.02999999999997</v>
      </c>
    </row>
    <row r="80" spans="1:10" x14ac:dyDescent="0.25">
      <c r="A80" t="s">
        <v>116</v>
      </c>
      <c r="B80" s="16">
        <v>45977</v>
      </c>
      <c r="C80" t="s">
        <v>17</v>
      </c>
      <c r="D80" t="s">
        <v>22</v>
      </c>
      <c r="E80" t="s">
        <v>27</v>
      </c>
      <c r="F80" t="s">
        <v>32</v>
      </c>
      <c r="G80" t="s">
        <v>20</v>
      </c>
      <c r="H80" s="2">
        <v>108.86</v>
      </c>
      <c r="I80">
        <v>11</v>
      </c>
      <c r="J80" s="2">
        <v>1197.46</v>
      </c>
    </row>
    <row r="81" spans="1:10" x14ac:dyDescent="0.25">
      <c r="A81" t="s">
        <v>117</v>
      </c>
      <c r="B81" s="16">
        <v>45816</v>
      </c>
      <c r="C81" t="s">
        <v>34</v>
      </c>
      <c r="D81" t="s">
        <v>31</v>
      </c>
      <c r="E81" t="s">
        <v>27</v>
      </c>
      <c r="F81" t="s">
        <v>32</v>
      </c>
      <c r="G81" t="s">
        <v>20</v>
      </c>
      <c r="H81" s="2">
        <v>55.49</v>
      </c>
      <c r="I81">
        <v>14</v>
      </c>
      <c r="J81" s="2">
        <v>776.86</v>
      </c>
    </row>
    <row r="82" spans="1:10" x14ac:dyDescent="0.25">
      <c r="A82" t="s">
        <v>118</v>
      </c>
      <c r="B82" s="16">
        <v>45723</v>
      </c>
      <c r="C82" t="s">
        <v>38</v>
      </c>
      <c r="D82" t="s">
        <v>12</v>
      </c>
      <c r="E82" t="s">
        <v>41</v>
      </c>
      <c r="F82" t="s">
        <v>28</v>
      </c>
      <c r="G82" t="s">
        <v>20</v>
      </c>
      <c r="H82" s="2">
        <v>219.88</v>
      </c>
      <c r="I82">
        <v>7</v>
      </c>
      <c r="J82" s="2">
        <v>1539.16</v>
      </c>
    </row>
    <row r="83" spans="1:10" x14ac:dyDescent="0.25">
      <c r="A83" t="s">
        <v>119</v>
      </c>
      <c r="B83" s="16">
        <v>45747</v>
      </c>
      <c r="C83" t="s">
        <v>25</v>
      </c>
      <c r="D83" t="s">
        <v>35</v>
      </c>
      <c r="E83" t="s">
        <v>41</v>
      </c>
      <c r="F83" t="s">
        <v>42</v>
      </c>
      <c r="G83" t="s">
        <v>15</v>
      </c>
      <c r="H83" s="2">
        <v>167.13</v>
      </c>
      <c r="I83">
        <v>20</v>
      </c>
      <c r="J83" s="2">
        <v>3342.6</v>
      </c>
    </row>
    <row r="84" spans="1:10" x14ac:dyDescent="0.25">
      <c r="A84" t="s">
        <v>120</v>
      </c>
      <c r="B84" s="16">
        <v>45813</v>
      </c>
      <c r="C84" t="s">
        <v>30</v>
      </c>
      <c r="D84" t="s">
        <v>31</v>
      </c>
      <c r="E84" t="s">
        <v>18</v>
      </c>
      <c r="F84" t="s">
        <v>42</v>
      </c>
      <c r="G84" t="s">
        <v>20</v>
      </c>
      <c r="H84" s="2">
        <v>102.8</v>
      </c>
      <c r="I84">
        <v>10</v>
      </c>
      <c r="J84" s="2">
        <v>1028</v>
      </c>
    </row>
    <row r="85" spans="1:10" x14ac:dyDescent="0.25">
      <c r="A85" t="s">
        <v>121</v>
      </c>
      <c r="B85" s="16">
        <v>45822</v>
      </c>
      <c r="C85" t="s">
        <v>38</v>
      </c>
      <c r="D85" t="s">
        <v>31</v>
      </c>
      <c r="E85" t="s">
        <v>27</v>
      </c>
      <c r="F85" t="s">
        <v>14</v>
      </c>
      <c r="G85" t="s">
        <v>20</v>
      </c>
      <c r="H85" s="2">
        <v>43.98</v>
      </c>
      <c r="I85">
        <v>15</v>
      </c>
      <c r="J85" s="2">
        <v>659.7</v>
      </c>
    </row>
    <row r="86" spans="1:10" x14ac:dyDescent="0.25">
      <c r="A86" t="s">
        <v>122</v>
      </c>
      <c r="B86" s="16">
        <v>45900</v>
      </c>
      <c r="C86" t="s">
        <v>17</v>
      </c>
      <c r="D86" t="s">
        <v>22</v>
      </c>
      <c r="E86" t="s">
        <v>13</v>
      </c>
      <c r="F86" t="s">
        <v>42</v>
      </c>
      <c r="G86" t="s">
        <v>20</v>
      </c>
      <c r="H86" s="2">
        <v>98.42</v>
      </c>
      <c r="I86">
        <v>6</v>
      </c>
      <c r="J86" s="2">
        <v>590.52</v>
      </c>
    </row>
    <row r="87" spans="1:10" x14ac:dyDescent="0.25">
      <c r="A87" t="s">
        <v>123</v>
      </c>
      <c r="B87" s="16">
        <v>45982</v>
      </c>
      <c r="C87" t="s">
        <v>34</v>
      </c>
      <c r="D87" t="s">
        <v>22</v>
      </c>
      <c r="E87" t="s">
        <v>23</v>
      </c>
      <c r="F87" t="s">
        <v>28</v>
      </c>
      <c r="G87" t="s">
        <v>36</v>
      </c>
      <c r="H87" s="2">
        <v>101.54</v>
      </c>
      <c r="I87">
        <v>20</v>
      </c>
      <c r="J87" s="2">
        <v>2030.8</v>
      </c>
    </row>
    <row r="88" spans="1:10" x14ac:dyDescent="0.25">
      <c r="A88" t="s">
        <v>124</v>
      </c>
      <c r="B88" s="16">
        <v>45773</v>
      </c>
      <c r="C88" t="s">
        <v>30</v>
      </c>
      <c r="D88" t="s">
        <v>22</v>
      </c>
      <c r="E88" t="s">
        <v>45</v>
      </c>
      <c r="F88" t="s">
        <v>14</v>
      </c>
      <c r="G88" t="s">
        <v>36</v>
      </c>
      <c r="H88" s="2">
        <v>190.51</v>
      </c>
      <c r="I88">
        <v>7</v>
      </c>
      <c r="J88" s="2">
        <v>1333.57</v>
      </c>
    </row>
    <row r="89" spans="1:10" x14ac:dyDescent="0.25">
      <c r="A89" t="s">
        <v>125</v>
      </c>
      <c r="B89" s="16">
        <v>45970</v>
      </c>
      <c r="C89" t="s">
        <v>38</v>
      </c>
      <c r="D89" t="s">
        <v>31</v>
      </c>
      <c r="E89" t="s">
        <v>27</v>
      </c>
      <c r="F89" t="s">
        <v>42</v>
      </c>
      <c r="G89" t="s">
        <v>15</v>
      </c>
      <c r="H89" s="2">
        <v>170.26</v>
      </c>
      <c r="I89">
        <v>3</v>
      </c>
      <c r="J89" s="2">
        <v>510.78</v>
      </c>
    </row>
    <row r="90" spans="1:10" x14ac:dyDescent="0.25">
      <c r="A90" t="s">
        <v>126</v>
      </c>
      <c r="B90" s="16">
        <v>46014</v>
      </c>
      <c r="C90" t="s">
        <v>38</v>
      </c>
      <c r="D90" t="s">
        <v>31</v>
      </c>
      <c r="E90" t="s">
        <v>23</v>
      </c>
      <c r="F90" t="s">
        <v>14</v>
      </c>
      <c r="G90" t="s">
        <v>20</v>
      </c>
      <c r="H90" s="2">
        <v>225.19</v>
      </c>
      <c r="I90">
        <v>13</v>
      </c>
      <c r="J90" s="2">
        <v>2927.47</v>
      </c>
    </row>
    <row r="91" spans="1:10" x14ac:dyDescent="0.25">
      <c r="A91" t="s">
        <v>127</v>
      </c>
      <c r="B91" s="16">
        <v>46010</v>
      </c>
      <c r="C91" t="s">
        <v>11</v>
      </c>
      <c r="D91" t="s">
        <v>31</v>
      </c>
      <c r="E91" t="s">
        <v>23</v>
      </c>
      <c r="F91" t="s">
        <v>14</v>
      </c>
      <c r="G91" t="s">
        <v>20</v>
      </c>
      <c r="H91" s="2">
        <v>133.88999999999999</v>
      </c>
      <c r="I91">
        <v>1</v>
      </c>
      <c r="J91" s="2">
        <v>133.88999999999999</v>
      </c>
    </row>
    <row r="92" spans="1:10" x14ac:dyDescent="0.25">
      <c r="A92" t="s">
        <v>128</v>
      </c>
      <c r="B92" s="16">
        <v>45923</v>
      </c>
      <c r="C92" t="s">
        <v>11</v>
      </c>
      <c r="D92" t="s">
        <v>55</v>
      </c>
      <c r="E92" t="s">
        <v>23</v>
      </c>
      <c r="F92" t="s">
        <v>39</v>
      </c>
      <c r="G92" t="s">
        <v>15</v>
      </c>
      <c r="H92" s="2">
        <v>56.31</v>
      </c>
      <c r="I92">
        <v>15</v>
      </c>
      <c r="J92" s="2">
        <v>844.65</v>
      </c>
    </row>
    <row r="93" spans="1:10" x14ac:dyDescent="0.25">
      <c r="A93" t="s">
        <v>129</v>
      </c>
      <c r="B93" s="16">
        <v>45891</v>
      </c>
      <c r="C93" t="s">
        <v>38</v>
      </c>
      <c r="D93" t="s">
        <v>12</v>
      </c>
      <c r="E93" t="s">
        <v>18</v>
      </c>
      <c r="F93" t="s">
        <v>42</v>
      </c>
      <c r="G93" t="s">
        <v>20</v>
      </c>
      <c r="H93" s="2">
        <v>186.91</v>
      </c>
      <c r="I93">
        <v>5</v>
      </c>
      <c r="J93" s="2">
        <v>934.55</v>
      </c>
    </row>
    <row r="94" spans="1:10" x14ac:dyDescent="0.25">
      <c r="A94" t="s">
        <v>130</v>
      </c>
      <c r="B94" s="16">
        <v>45820</v>
      </c>
      <c r="C94" t="s">
        <v>25</v>
      </c>
      <c r="D94" t="s">
        <v>12</v>
      </c>
      <c r="E94" t="s">
        <v>18</v>
      </c>
      <c r="F94" t="s">
        <v>61</v>
      </c>
      <c r="G94" t="s">
        <v>20</v>
      </c>
      <c r="H94" s="2">
        <v>197.37</v>
      </c>
      <c r="I94">
        <v>15</v>
      </c>
      <c r="J94" s="2">
        <v>2960.55</v>
      </c>
    </row>
    <row r="95" spans="1:10" x14ac:dyDescent="0.25">
      <c r="A95" t="s">
        <v>131</v>
      </c>
      <c r="B95" s="16">
        <v>45886</v>
      </c>
      <c r="C95" t="s">
        <v>17</v>
      </c>
      <c r="D95" t="s">
        <v>31</v>
      </c>
      <c r="E95" t="s">
        <v>41</v>
      </c>
      <c r="F95" t="s">
        <v>32</v>
      </c>
      <c r="G95" t="s">
        <v>15</v>
      </c>
      <c r="H95" s="2">
        <v>153.47999999999999</v>
      </c>
      <c r="I95">
        <v>6</v>
      </c>
      <c r="J95" s="2">
        <v>920.88</v>
      </c>
    </row>
    <row r="96" spans="1:10" x14ac:dyDescent="0.25">
      <c r="A96" t="s">
        <v>132</v>
      </c>
      <c r="B96" s="16">
        <v>45984</v>
      </c>
      <c r="C96" t="s">
        <v>25</v>
      </c>
      <c r="D96" t="s">
        <v>31</v>
      </c>
      <c r="E96" t="s">
        <v>27</v>
      </c>
      <c r="F96" t="s">
        <v>14</v>
      </c>
      <c r="G96" t="s">
        <v>36</v>
      </c>
      <c r="H96" s="2">
        <v>199.61</v>
      </c>
      <c r="I96">
        <v>9</v>
      </c>
      <c r="J96" s="2">
        <v>1796.49</v>
      </c>
    </row>
    <row r="97" spans="1:10" x14ac:dyDescent="0.25">
      <c r="A97" t="s">
        <v>133</v>
      </c>
      <c r="B97" s="16">
        <v>45883</v>
      </c>
      <c r="C97" t="s">
        <v>17</v>
      </c>
      <c r="D97" t="s">
        <v>35</v>
      </c>
      <c r="E97" t="s">
        <v>23</v>
      </c>
      <c r="F97" t="s">
        <v>32</v>
      </c>
      <c r="G97" t="s">
        <v>36</v>
      </c>
      <c r="H97" s="2">
        <v>138.63999999999999</v>
      </c>
      <c r="I97">
        <v>3</v>
      </c>
      <c r="J97" s="2">
        <v>415.92</v>
      </c>
    </row>
    <row r="98" spans="1:10" x14ac:dyDescent="0.25">
      <c r="A98" t="s">
        <v>134</v>
      </c>
      <c r="B98" s="16">
        <v>45821</v>
      </c>
      <c r="C98" t="s">
        <v>11</v>
      </c>
      <c r="D98" t="s">
        <v>26</v>
      </c>
      <c r="E98" t="s">
        <v>23</v>
      </c>
      <c r="F98" t="s">
        <v>14</v>
      </c>
      <c r="G98" t="s">
        <v>36</v>
      </c>
      <c r="H98" s="2">
        <v>145</v>
      </c>
      <c r="I98">
        <v>18</v>
      </c>
      <c r="J98" s="2">
        <v>2610</v>
      </c>
    </row>
    <row r="99" spans="1:10" x14ac:dyDescent="0.25">
      <c r="A99" t="s">
        <v>135</v>
      </c>
      <c r="B99" s="16">
        <v>46013</v>
      </c>
      <c r="C99" t="s">
        <v>17</v>
      </c>
      <c r="D99" t="s">
        <v>26</v>
      </c>
      <c r="E99" t="s">
        <v>45</v>
      </c>
      <c r="F99" t="s">
        <v>61</v>
      </c>
      <c r="G99" t="s">
        <v>36</v>
      </c>
      <c r="H99" s="2">
        <v>124.06</v>
      </c>
      <c r="I99">
        <v>5</v>
      </c>
      <c r="J99" s="2">
        <v>620.29999999999995</v>
      </c>
    </row>
    <row r="100" spans="1:10" x14ac:dyDescent="0.25">
      <c r="A100" t="s">
        <v>136</v>
      </c>
      <c r="B100" s="16">
        <v>45827</v>
      </c>
      <c r="C100" t="s">
        <v>38</v>
      </c>
      <c r="D100" t="s">
        <v>31</v>
      </c>
      <c r="E100" t="s">
        <v>45</v>
      </c>
      <c r="F100" t="s">
        <v>14</v>
      </c>
      <c r="G100" t="s">
        <v>36</v>
      </c>
      <c r="H100" s="2">
        <v>35.590000000000003</v>
      </c>
      <c r="I100">
        <v>18</v>
      </c>
      <c r="J100" s="2">
        <v>640.62</v>
      </c>
    </row>
    <row r="101" spans="1:10" x14ac:dyDescent="0.25">
      <c r="A101" t="s">
        <v>137</v>
      </c>
      <c r="B101" s="16">
        <v>45857</v>
      </c>
      <c r="C101" t="s">
        <v>17</v>
      </c>
      <c r="D101" t="s">
        <v>22</v>
      </c>
      <c r="E101" t="s">
        <v>18</v>
      </c>
      <c r="F101" t="s">
        <v>61</v>
      </c>
      <c r="G101" t="s">
        <v>36</v>
      </c>
      <c r="H101" s="2">
        <v>53.74</v>
      </c>
      <c r="I101">
        <v>19</v>
      </c>
      <c r="J101" s="2">
        <v>1021.06</v>
      </c>
    </row>
    <row r="102" spans="1:10" x14ac:dyDescent="0.25">
      <c r="A102" t="s">
        <v>138</v>
      </c>
      <c r="B102" s="16">
        <v>45661</v>
      </c>
      <c r="C102" t="s">
        <v>34</v>
      </c>
      <c r="D102" t="s">
        <v>31</v>
      </c>
      <c r="E102" t="s">
        <v>41</v>
      </c>
      <c r="F102" t="s">
        <v>42</v>
      </c>
      <c r="G102" t="s">
        <v>20</v>
      </c>
      <c r="H102" s="2">
        <v>36.909999999999997</v>
      </c>
      <c r="I102">
        <v>12</v>
      </c>
      <c r="J102" s="2">
        <v>442.92</v>
      </c>
    </row>
    <row r="103" spans="1:10" x14ac:dyDescent="0.25">
      <c r="A103" t="s">
        <v>139</v>
      </c>
      <c r="B103" s="16">
        <v>45937</v>
      </c>
      <c r="C103" t="s">
        <v>30</v>
      </c>
      <c r="D103" t="s">
        <v>31</v>
      </c>
      <c r="E103" t="s">
        <v>23</v>
      </c>
      <c r="F103" t="s">
        <v>32</v>
      </c>
      <c r="G103" t="s">
        <v>36</v>
      </c>
      <c r="H103" s="2">
        <v>170.01</v>
      </c>
      <c r="I103">
        <v>20</v>
      </c>
      <c r="J103" s="2">
        <v>3400.2</v>
      </c>
    </row>
    <row r="104" spans="1:10" x14ac:dyDescent="0.25">
      <c r="A104" t="s">
        <v>140</v>
      </c>
      <c r="B104" s="16">
        <v>45906</v>
      </c>
      <c r="C104" t="s">
        <v>38</v>
      </c>
      <c r="D104" t="s">
        <v>35</v>
      </c>
      <c r="E104" t="s">
        <v>27</v>
      </c>
      <c r="F104" t="s">
        <v>28</v>
      </c>
      <c r="G104" t="s">
        <v>36</v>
      </c>
      <c r="H104" s="2">
        <v>99.16</v>
      </c>
      <c r="I104">
        <v>1</v>
      </c>
      <c r="J104" s="2">
        <v>99.16</v>
      </c>
    </row>
    <row r="105" spans="1:10" x14ac:dyDescent="0.25">
      <c r="A105" t="s">
        <v>141</v>
      </c>
      <c r="B105" s="16">
        <v>45742</v>
      </c>
      <c r="C105" t="s">
        <v>30</v>
      </c>
      <c r="D105" t="s">
        <v>55</v>
      </c>
      <c r="E105" t="s">
        <v>18</v>
      </c>
      <c r="F105" t="s">
        <v>19</v>
      </c>
      <c r="G105" t="s">
        <v>36</v>
      </c>
      <c r="H105" s="2">
        <v>141.88999999999999</v>
      </c>
      <c r="I105">
        <v>15</v>
      </c>
      <c r="J105" s="2">
        <v>2128.35</v>
      </c>
    </row>
    <row r="106" spans="1:10" x14ac:dyDescent="0.25">
      <c r="A106" t="s">
        <v>142</v>
      </c>
      <c r="B106" s="16">
        <v>45961</v>
      </c>
      <c r="C106" t="s">
        <v>17</v>
      </c>
      <c r="D106" t="s">
        <v>22</v>
      </c>
      <c r="E106" t="s">
        <v>45</v>
      </c>
      <c r="F106" t="s">
        <v>28</v>
      </c>
      <c r="G106" t="s">
        <v>36</v>
      </c>
      <c r="H106" s="2">
        <v>229.66</v>
      </c>
      <c r="I106">
        <v>19</v>
      </c>
      <c r="J106" s="2">
        <v>4363.54</v>
      </c>
    </row>
    <row r="107" spans="1:10" x14ac:dyDescent="0.25">
      <c r="A107" t="s">
        <v>143</v>
      </c>
      <c r="B107" s="16">
        <v>45727</v>
      </c>
      <c r="C107" t="s">
        <v>30</v>
      </c>
      <c r="D107" t="s">
        <v>22</v>
      </c>
      <c r="E107" t="s">
        <v>13</v>
      </c>
      <c r="F107" t="s">
        <v>61</v>
      </c>
      <c r="G107" t="s">
        <v>36</v>
      </c>
      <c r="H107" s="2">
        <v>84.84</v>
      </c>
      <c r="I107">
        <v>15</v>
      </c>
      <c r="J107" s="2">
        <v>1272.5999999999999</v>
      </c>
    </row>
    <row r="108" spans="1:10" x14ac:dyDescent="0.25">
      <c r="A108" t="s">
        <v>144</v>
      </c>
      <c r="B108" s="16">
        <v>45766</v>
      </c>
      <c r="C108" t="s">
        <v>34</v>
      </c>
      <c r="D108" t="s">
        <v>35</v>
      </c>
      <c r="E108" t="s">
        <v>41</v>
      </c>
      <c r="F108" t="s">
        <v>32</v>
      </c>
      <c r="G108" t="s">
        <v>36</v>
      </c>
      <c r="H108" s="2">
        <v>120.28</v>
      </c>
      <c r="I108">
        <v>15</v>
      </c>
      <c r="J108" s="2">
        <v>1804.2</v>
      </c>
    </row>
    <row r="109" spans="1:10" x14ac:dyDescent="0.25">
      <c r="A109" t="s">
        <v>145</v>
      </c>
      <c r="B109" s="16">
        <v>45787</v>
      </c>
      <c r="C109" t="s">
        <v>38</v>
      </c>
      <c r="D109" t="s">
        <v>22</v>
      </c>
      <c r="E109" t="s">
        <v>27</v>
      </c>
      <c r="F109" t="s">
        <v>42</v>
      </c>
      <c r="G109" t="s">
        <v>15</v>
      </c>
      <c r="H109" s="2">
        <v>196.22</v>
      </c>
      <c r="I109">
        <v>3</v>
      </c>
      <c r="J109" s="2">
        <v>588.66</v>
      </c>
    </row>
    <row r="110" spans="1:10" x14ac:dyDescent="0.25">
      <c r="A110" t="s">
        <v>146</v>
      </c>
      <c r="B110" s="16">
        <v>45837</v>
      </c>
      <c r="C110" t="s">
        <v>17</v>
      </c>
      <c r="D110" t="s">
        <v>22</v>
      </c>
      <c r="E110" t="s">
        <v>27</v>
      </c>
      <c r="F110" t="s">
        <v>19</v>
      </c>
      <c r="G110" t="s">
        <v>15</v>
      </c>
      <c r="H110" s="2">
        <v>80.34</v>
      </c>
      <c r="I110">
        <v>8</v>
      </c>
      <c r="J110" s="2">
        <v>642.72</v>
      </c>
    </row>
    <row r="111" spans="1:10" x14ac:dyDescent="0.25">
      <c r="A111" t="s">
        <v>147</v>
      </c>
      <c r="B111" s="16">
        <v>45784</v>
      </c>
      <c r="C111" t="s">
        <v>11</v>
      </c>
      <c r="D111" t="s">
        <v>55</v>
      </c>
      <c r="E111" t="s">
        <v>23</v>
      </c>
      <c r="F111" t="s">
        <v>14</v>
      </c>
      <c r="G111" t="s">
        <v>15</v>
      </c>
      <c r="H111" s="2">
        <v>46.94</v>
      </c>
      <c r="I111">
        <v>7</v>
      </c>
      <c r="J111" s="2">
        <v>328.58</v>
      </c>
    </row>
    <row r="112" spans="1:10" x14ac:dyDescent="0.25">
      <c r="A112" t="s">
        <v>148</v>
      </c>
      <c r="B112" s="16">
        <v>45900</v>
      </c>
      <c r="C112" t="s">
        <v>25</v>
      </c>
      <c r="D112" t="s">
        <v>26</v>
      </c>
      <c r="E112" t="s">
        <v>41</v>
      </c>
      <c r="F112" t="s">
        <v>28</v>
      </c>
      <c r="G112" t="s">
        <v>36</v>
      </c>
      <c r="H112" s="2">
        <v>93.75</v>
      </c>
      <c r="I112">
        <v>4</v>
      </c>
      <c r="J112" s="2">
        <v>375</v>
      </c>
    </row>
    <row r="113" spans="1:10" x14ac:dyDescent="0.25">
      <c r="A113" t="s">
        <v>149</v>
      </c>
      <c r="B113" s="16">
        <v>45846</v>
      </c>
      <c r="C113" t="s">
        <v>25</v>
      </c>
      <c r="D113" t="s">
        <v>55</v>
      </c>
      <c r="E113" t="s">
        <v>27</v>
      </c>
      <c r="F113" t="s">
        <v>28</v>
      </c>
      <c r="G113" t="s">
        <v>15</v>
      </c>
      <c r="H113" s="2">
        <v>65.47</v>
      </c>
      <c r="I113">
        <v>6</v>
      </c>
      <c r="J113" s="2">
        <v>392.82</v>
      </c>
    </row>
    <row r="114" spans="1:10" x14ac:dyDescent="0.25">
      <c r="A114" t="s">
        <v>150</v>
      </c>
      <c r="B114" s="16">
        <v>45741</v>
      </c>
      <c r="C114" t="s">
        <v>11</v>
      </c>
      <c r="D114" t="s">
        <v>55</v>
      </c>
      <c r="E114" t="s">
        <v>45</v>
      </c>
      <c r="F114" t="s">
        <v>32</v>
      </c>
      <c r="G114" t="s">
        <v>20</v>
      </c>
      <c r="H114" s="2">
        <v>234.53</v>
      </c>
      <c r="I114">
        <v>10</v>
      </c>
      <c r="J114" s="2">
        <v>2345.3000000000002</v>
      </c>
    </row>
    <row r="115" spans="1:10" x14ac:dyDescent="0.25">
      <c r="A115" t="s">
        <v>151</v>
      </c>
      <c r="B115" s="16">
        <v>46004</v>
      </c>
      <c r="C115" t="s">
        <v>38</v>
      </c>
      <c r="D115" t="s">
        <v>12</v>
      </c>
      <c r="E115" t="s">
        <v>23</v>
      </c>
      <c r="F115" t="s">
        <v>19</v>
      </c>
      <c r="G115" t="s">
        <v>20</v>
      </c>
      <c r="H115" s="2">
        <v>207.79</v>
      </c>
      <c r="I115">
        <v>13</v>
      </c>
      <c r="J115" s="2">
        <v>2701.27</v>
      </c>
    </row>
    <row r="116" spans="1:10" x14ac:dyDescent="0.25">
      <c r="A116" t="s">
        <v>152</v>
      </c>
      <c r="B116" s="16">
        <v>46011</v>
      </c>
      <c r="C116" t="s">
        <v>11</v>
      </c>
      <c r="D116" t="s">
        <v>12</v>
      </c>
      <c r="E116" t="s">
        <v>13</v>
      </c>
      <c r="F116" t="s">
        <v>39</v>
      </c>
      <c r="G116" t="s">
        <v>20</v>
      </c>
      <c r="H116" s="2">
        <v>169.35</v>
      </c>
      <c r="I116">
        <v>8</v>
      </c>
      <c r="J116" s="2">
        <v>1354.8</v>
      </c>
    </row>
    <row r="117" spans="1:10" x14ac:dyDescent="0.25">
      <c r="A117" t="s">
        <v>153</v>
      </c>
      <c r="B117" s="16">
        <v>45965</v>
      </c>
      <c r="C117" t="s">
        <v>25</v>
      </c>
      <c r="D117" t="s">
        <v>22</v>
      </c>
      <c r="E117" t="s">
        <v>13</v>
      </c>
      <c r="F117" t="s">
        <v>42</v>
      </c>
      <c r="G117" t="s">
        <v>36</v>
      </c>
      <c r="H117" s="2">
        <v>221.72</v>
      </c>
      <c r="I117">
        <v>4</v>
      </c>
      <c r="J117" s="2">
        <v>886.88</v>
      </c>
    </row>
    <row r="118" spans="1:10" x14ac:dyDescent="0.25">
      <c r="A118" t="s">
        <v>154</v>
      </c>
      <c r="B118" s="16">
        <v>45996</v>
      </c>
      <c r="C118" t="s">
        <v>11</v>
      </c>
      <c r="D118" t="s">
        <v>55</v>
      </c>
      <c r="E118" t="s">
        <v>27</v>
      </c>
      <c r="F118" t="s">
        <v>32</v>
      </c>
      <c r="G118" t="s">
        <v>15</v>
      </c>
      <c r="H118" s="2">
        <v>206.81</v>
      </c>
      <c r="I118">
        <v>12</v>
      </c>
      <c r="J118" s="2">
        <v>2481.7199999999998</v>
      </c>
    </row>
    <row r="119" spans="1:10" x14ac:dyDescent="0.25">
      <c r="A119" t="s">
        <v>155</v>
      </c>
      <c r="B119" s="16">
        <v>45873</v>
      </c>
      <c r="C119" t="s">
        <v>11</v>
      </c>
      <c r="D119" t="s">
        <v>31</v>
      </c>
      <c r="E119" t="s">
        <v>13</v>
      </c>
      <c r="F119" t="s">
        <v>28</v>
      </c>
      <c r="G119" t="s">
        <v>36</v>
      </c>
      <c r="H119" s="2">
        <v>71.05</v>
      </c>
      <c r="I119">
        <v>16</v>
      </c>
      <c r="J119" s="2">
        <v>1136.8</v>
      </c>
    </row>
    <row r="120" spans="1:10" x14ac:dyDescent="0.25">
      <c r="A120" t="s">
        <v>156</v>
      </c>
      <c r="B120" s="16">
        <v>46020</v>
      </c>
      <c r="C120" t="s">
        <v>38</v>
      </c>
      <c r="D120" t="s">
        <v>26</v>
      </c>
      <c r="E120" t="s">
        <v>27</v>
      </c>
      <c r="F120" t="s">
        <v>42</v>
      </c>
      <c r="G120" t="s">
        <v>20</v>
      </c>
      <c r="H120" s="2">
        <v>226.36</v>
      </c>
      <c r="I120">
        <v>5</v>
      </c>
      <c r="J120" s="2">
        <v>1131.8</v>
      </c>
    </row>
    <row r="121" spans="1:10" x14ac:dyDescent="0.25">
      <c r="A121" t="s">
        <v>157</v>
      </c>
      <c r="B121" s="16">
        <v>45796</v>
      </c>
      <c r="C121" t="s">
        <v>25</v>
      </c>
      <c r="D121" t="s">
        <v>31</v>
      </c>
      <c r="E121" t="s">
        <v>41</v>
      </c>
      <c r="F121" t="s">
        <v>61</v>
      </c>
      <c r="G121" t="s">
        <v>20</v>
      </c>
      <c r="H121" s="2">
        <v>148.66</v>
      </c>
      <c r="I121">
        <v>20</v>
      </c>
      <c r="J121" s="2">
        <v>2973.2</v>
      </c>
    </row>
    <row r="122" spans="1:10" x14ac:dyDescent="0.25">
      <c r="A122" t="s">
        <v>158</v>
      </c>
      <c r="B122" s="16">
        <v>45961</v>
      </c>
      <c r="C122" t="s">
        <v>34</v>
      </c>
      <c r="D122" t="s">
        <v>26</v>
      </c>
      <c r="E122" t="s">
        <v>45</v>
      </c>
      <c r="F122" t="s">
        <v>32</v>
      </c>
      <c r="G122" t="s">
        <v>36</v>
      </c>
      <c r="H122" s="2">
        <v>207.64</v>
      </c>
      <c r="I122">
        <v>9</v>
      </c>
      <c r="J122" s="2">
        <v>1868.76</v>
      </c>
    </row>
    <row r="123" spans="1:10" x14ac:dyDescent="0.25">
      <c r="A123" t="s">
        <v>159</v>
      </c>
      <c r="B123" s="16">
        <v>45782</v>
      </c>
      <c r="C123" t="s">
        <v>25</v>
      </c>
      <c r="D123" t="s">
        <v>55</v>
      </c>
      <c r="E123" t="s">
        <v>27</v>
      </c>
      <c r="F123" t="s">
        <v>61</v>
      </c>
      <c r="G123" t="s">
        <v>36</v>
      </c>
      <c r="H123" s="2">
        <v>227.14</v>
      </c>
      <c r="I123">
        <v>15</v>
      </c>
      <c r="J123" s="2">
        <v>3407.1</v>
      </c>
    </row>
    <row r="124" spans="1:10" x14ac:dyDescent="0.25">
      <c r="A124" t="s">
        <v>160</v>
      </c>
      <c r="B124" s="16">
        <v>45672</v>
      </c>
      <c r="C124" t="s">
        <v>34</v>
      </c>
      <c r="D124" t="s">
        <v>26</v>
      </c>
      <c r="E124" t="s">
        <v>41</v>
      </c>
      <c r="F124" t="s">
        <v>14</v>
      </c>
      <c r="G124" t="s">
        <v>36</v>
      </c>
      <c r="H124" s="2">
        <v>99.96</v>
      </c>
      <c r="I124">
        <v>16</v>
      </c>
      <c r="J124" s="2">
        <v>1599.36</v>
      </c>
    </row>
    <row r="125" spans="1:10" x14ac:dyDescent="0.25">
      <c r="A125" t="s">
        <v>161</v>
      </c>
      <c r="B125" s="16">
        <v>45790</v>
      </c>
      <c r="C125" t="s">
        <v>34</v>
      </c>
      <c r="D125" t="s">
        <v>55</v>
      </c>
      <c r="E125" t="s">
        <v>27</v>
      </c>
      <c r="F125" t="s">
        <v>32</v>
      </c>
      <c r="G125" t="s">
        <v>20</v>
      </c>
      <c r="H125" s="2">
        <v>54.21</v>
      </c>
      <c r="I125">
        <v>11</v>
      </c>
      <c r="J125" s="2">
        <v>596.30999999999995</v>
      </c>
    </row>
    <row r="126" spans="1:10" x14ac:dyDescent="0.25">
      <c r="A126" t="s">
        <v>162</v>
      </c>
      <c r="B126" s="16">
        <v>45663</v>
      </c>
      <c r="C126" t="s">
        <v>30</v>
      </c>
      <c r="D126" t="s">
        <v>22</v>
      </c>
      <c r="E126" t="s">
        <v>23</v>
      </c>
      <c r="F126" t="s">
        <v>28</v>
      </c>
      <c r="G126" t="s">
        <v>36</v>
      </c>
      <c r="H126" s="2">
        <v>80.150000000000006</v>
      </c>
      <c r="I126">
        <v>17</v>
      </c>
      <c r="J126" s="2">
        <v>1362.55</v>
      </c>
    </row>
    <row r="127" spans="1:10" x14ac:dyDescent="0.25">
      <c r="A127" t="s">
        <v>163</v>
      </c>
      <c r="B127" s="16">
        <v>45908</v>
      </c>
      <c r="C127" t="s">
        <v>30</v>
      </c>
      <c r="D127" t="s">
        <v>12</v>
      </c>
      <c r="E127" t="s">
        <v>41</v>
      </c>
      <c r="F127" t="s">
        <v>28</v>
      </c>
      <c r="G127" t="s">
        <v>20</v>
      </c>
      <c r="H127" s="2">
        <v>123.96</v>
      </c>
      <c r="I127">
        <v>18</v>
      </c>
      <c r="J127" s="2">
        <v>2231.2800000000002</v>
      </c>
    </row>
    <row r="128" spans="1:10" x14ac:dyDescent="0.25">
      <c r="A128" t="s">
        <v>164</v>
      </c>
      <c r="B128" s="16">
        <v>45909</v>
      </c>
      <c r="C128" t="s">
        <v>11</v>
      </c>
      <c r="D128" t="s">
        <v>22</v>
      </c>
      <c r="E128" t="s">
        <v>13</v>
      </c>
      <c r="F128" t="s">
        <v>14</v>
      </c>
      <c r="G128" t="s">
        <v>36</v>
      </c>
      <c r="H128" s="2">
        <v>209.96</v>
      </c>
      <c r="I128">
        <v>15</v>
      </c>
      <c r="J128" s="2">
        <v>3149.4</v>
      </c>
    </row>
    <row r="129" spans="1:10" x14ac:dyDescent="0.25">
      <c r="A129" t="s">
        <v>165</v>
      </c>
      <c r="B129" s="16">
        <v>46012</v>
      </c>
      <c r="C129" t="s">
        <v>34</v>
      </c>
      <c r="D129" t="s">
        <v>12</v>
      </c>
      <c r="E129" t="s">
        <v>18</v>
      </c>
      <c r="F129" t="s">
        <v>32</v>
      </c>
      <c r="G129" t="s">
        <v>36</v>
      </c>
      <c r="H129" s="2">
        <v>219.36</v>
      </c>
      <c r="I129">
        <v>8</v>
      </c>
      <c r="J129" s="2">
        <v>1754.88</v>
      </c>
    </row>
    <row r="130" spans="1:10" x14ac:dyDescent="0.25">
      <c r="A130" t="s">
        <v>166</v>
      </c>
      <c r="B130" s="16">
        <v>45941</v>
      </c>
      <c r="C130" t="s">
        <v>34</v>
      </c>
      <c r="D130" t="s">
        <v>31</v>
      </c>
      <c r="E130" t="s">
        <v>27</v>
      </c>
      <c r="F130" t="s">
        <v>42</v>
      </c>
      <c r="G130" t="s">
        <v>36</v>
      </c>
      <c r="H130" s="2">
        <v>31.53</v>
      </c>
      <c r="I130">
        <v>17</v>
      </c>
      <c r="J130" s="2">
        <v>536.01</v>
      </c>
    </row>
    <row r="131" spans="1:10" x14ac:dyDescent="0.25">
      <c r="A131" t="s">
        <v>167</v>
      </c>
      <c r="B131" s="16">
        <v>45838</v>
      </c>
      <c r="C131" t="s">
        <v>34</v>
      </c>
      <c r="D131" t="s">
        <v>35</v>
      </c>
      <c r="E131" t="s">
        <v>13</v>
      </c>
      <c r="F131" t="s">
        <v>14</v>
      </c>
      <c r="G131" t="s">
        <v>15</v>
      </c>
      <c r="H131" s="2">
        <v>142.36000000000001</v>
      </c>
      <c r="I131">
        <v>15</v>
      </c>
      <c r="J131" s="2">
        <v>2135.4</v>
      </c>
    </row>
    <row r="132" spans="1:10" x14ac:dyDescent="0.25">
      <c r="A132" t="s">
        <v>168</v>
      </c>
      <c r="B132" s="16">
        <v>45756</v>
      </c>
      <c r="C132" t="s">
        <v>11</v>
      </c>
      <c r="D132" t="s">
        <v>12</v>
      </c>
      <c r="E132" t="s">
        <v>18</v>
      </c>
      <c r="F132" t="s">
        <v>39</v>
      </c>
      <c r="G132" t="s">
        <v>20</v>
      </c>
      <c r="H132" s="2">
        <v>121.83</v>
      </c>
      <c r="I132">
        <v>11</v>
      </c>
      <c r="J132" s="2">
        <v>1340.13</v>
      </c>
    </row>
    <row r="133" spans="1:10" x14ac:dyDescent="0.25">
      <c r="A133" t="s">
        <v>169</v>
      </c>
      <c r="B133" s="16">
        <v>45752</v>
      </c>
      <c r="C133" t="s">
        <v>30</v>
      </c>
      <c r="D133" t="s">
        <v>12</v>
      </c>
      <c r="E133" t="s">
        <v>41</v>
      </c>
      <c r="F133" t="s">
        <v>32</v>
      </c>
      <c r="G133" t="s">
        <v>20</v>
      </c>
      <c r="H133" s="2">
        <v>78.86</v>
      </c>
      <c r="I133">
        <v>7</v>
      </c>
      <c r="J133" s="2">
        <v>552.02</v>
      </c>
    </row>
    <row r="134" spans="1:10" x14ac:dyDescent="0.25">
      <c r="A134" t="s">
        <v>170</v>
      </c>
      <c r="B134" s="16">
        <v>45959</v>
      </c>
      <c r="C134" t="s">
        <v>25</v>
      </c>
      <c r="D134" t="s">
        <v>35</v>
      </c>
      <c r="E134" t="s">
        <v>45</v>
      </c>
      <c r="F134" t="s">
        <v>39</v>
      </c>
      <c r="G134" t="s">
        <v>15</v>
      </c>
      <c r="H134" s="2">
        <v>56.37</v>
      </c>
      <c r="I134">
        <v>17</v>
      </c>
      <c r="J134" s="2">
        <v>958.29</v>
      </c>
    </row>
    <row r="135" spans="1:10" x14ac:dyDescent="0.25">
      <c r="A135" t="s">
        <v>171</v>
      </c>
      <c r="B135" s="16">
        <v>45809</v>
      </c>
      <c r="C135" t="s">
        <v>34</v>
      </c>
      <c r="D135" t="s">
        <v>26</v>
      </c>
      <c r="E135" t="s">
        <v>13</v>
      </c>
      <c r="F135" t="s">
        <v>19</v>
      </c>
      <c r="G135" t="s">
        <v>20</v>
      </c>
      <c r="H135" s="2">
        <v>104.28</v>
      </c>
      <c r="I135">
        <v>8</v>
      </c>
      <c r="J135" s="2">
        <v>834.24</v>
      </c>
    </row>
    <row r="136" spans="1:10" x14ac:dyDescent="0.25">
      <c r="A136" t="s">
        <v>172</v>
      </c>
      <c r="B136" s="16">
        <v>45931</v>
      </c>
      <c r="C136" t="s">
        <v>34</v>
      </c>
      <c r="D136" t="s">
        <v>22</v>
      </c>
      <c r="E136" t="s">
        <v>45</v>
      </c>
      <c r="F136" t="s">
        <v>42</v>
      </c>
      <c r="G136" t="s">
        <v>36</v>
      </c>
      <c r="H136" s="2">
        <v>237.44</v>
      </c>
      <c r="I136">
        <v>5</v>
      </c>
      <c r="J136" s="2">
        <v>1187.2</v>
      </c>
    </row>
    <row r="137" spans="1:10" x14ac:dyDescent="0.25">
      <c r="A137" t="s">
        <v>173</v>
      </c>
      <c r="B137" s="16">
        <v>46015</v>
      </c>
      <c r="C137" t="s">
        <v>17</v>
      </c>
      <c r="D137" t="s">
        <v>31</v>
      </c>
      <c r="E137" t="s">
        <v>45</v>
      </c>
      <c r="F137" t="s">
        <v>39</v>
      </c>
      <c r="G137" t="s">
        <v>15</v>
      </c>
      <c r="H137" s="2">
        <v>101.1</v>
      </c>
      <c r="I137">
        <v>5</v>
      </c>
      <c r="J137" s="2">
        <v>505.5</v>
      </c>
    </row>
    <row r="138" spans="1:10" x14ac:dyDescent="0.25">
      <c r="A138" t="s">
        <v>174</v>
      </c>
      <c r="B138" s="16">
        <v>45951</v>
      </c>
      <c r="C138" t="s">
        <v>38</v>
      </c>
      <c r="D138" t="s">
        <v>31</v>
      </c>
      <c r="E138" t="s">
        <v>41</v>
      </c>
      <c r="F138" t="s">
        <v>32</v>
      </c>
      <c r="G138" t="s">
        <v>15</v>
      </c>
      <c r="H138" s="2">
        <v>144.13</v>
      </c>
      <c r="I138">
        <v>10</v>
      </c>
      <c r="J138" s="2">
        <v>1441.3</v>
      </c>
    </row>
    <row r="139" spans="1:10" x14ac:dyDescent="0.25">
      <c r="A139" t="s">
        <v>175</v>
      </c>
      <c r="B139" s="16">
        <v>45684</v>
      </c>
      <c r="C139" t="s">
        <v>38</v>
      </c>
      <c r="D139" t="s">
        <v>22</v>
      </c>
      <c r="E139" t="s">
        <v>45</v>
      </c>
      <c r="F139" t="s">
        <v>61</v>
      </c>
      <c r="G139" t="s">
        <v>36</v>
      </c>
      <c r="H139" s="2">
        <v>184.66</v>
      </c>
      <c r="I139">
        <v>9</v>
      </c>
      <c r="J139" s="2">
        <v>1661.94</v>
      </c>
    </row>
    <row r="140" spans="1:10" x14ac:dyDescent="0.25">
      <c r="A140" t="s">
        <v>176</v>
      </c>
      <c r="B140" s="16">
        <v>45695</v>
      </c>
      <c r="C140" t="s">
        <v>17</v>
      </c>
      <c r="D140" t="s">
        <v>12</v>
      </c>
      <c r="E140" t="s">
        <v>45</v>
      </c>
      <c r="F140" t="s">
        <v>14</v>
      </c>
      <c r="G140" t="s">
        <v>15</v>
      </c>
      <c r="H140" s="2">
        <v>110</v>
      </c>
      <c r="I140">
        <v>19</v>
      </c>
      <c r="J140" s="2">
        <v>2090</v>
      </c>
    </row>
    <row r="141" spans="1:10" x14ac:dyDescent="0.25">
      <c r="A141" t="s">
        <v>177</v>
      </c>
      <c r="B141" s="16">
        <v>45946</v>
      </c>
      <c r="C141" t="s">
        <v>11</v>
      </c>
      <c r="D141" t="s">
        <v>26</v>
      </c>
      <c r="E141" t="s">
        <v>45</v>
      </c>
      <c r="F141" t="s">
        <v>42</v>
      </c>
      <c r="G141" t="s">
        <v>36</v>
      </c>
      <c r="H141" s="2">
        <v>243.79</v>
      </c>
      <c r="I141">
        <v>10</v>
      </c>
      <c r="J141" s="2">
        <v>2437.9</v>
      </c>
    </row>
    <row r="142" spans="1:10" x14ac:dyDescent="0.25">
      <c r="A142" t="s">
        <v>178</v>
      </c>
      <c r="B142" s="16">
        <v>45968</v>
      </c>
      <c r="C142" t="s">
        <v>25</v>
      </c>
      <c r="D142" t="s">
        <v>26</v>
      </c>
      <c r="E142" t="s">
        <v>18</v>
      </c>
      <c r="F142" t="s">
        <v>61</v>
      </c>
      <c r="G142" t="s">
        <v>36</v>
      </c>
      <c r="H142" s="2">
        <v>241.74</v>
      </c>
      <c r="I142">
        <v>20</v>
      </c>
      <c r="J142" s="2">
        <v>4834.8</v>
      </c>
    </row>
    <row r="143" spans="1:10" x14ac:dyDescent="0.25">
      <c r="A143" t="s">
        <v>179</v>
      </c>
      <c r="B143" s="16">
        <v>45884</v>
      </c>
      <c r="C143" t="s">
        <v>25</v>
      </c>
      <c r="D143" t="s">
        <v>31</v>
      </c>
      <c r="E143" t="s">
        <v>13</v>
      </c>
      <c r="F143" t="s">
        <v>42</v>
      </c>
      <c r="G143" t="s">
        <v>20</v>
      </c>
      <c r="H143" s="2">
        <v>85.39</v>
      </c>
      <c r="I143">
        <v>10</v>
      </c>
      <c r="J143" s="2">
        <v>853.9</v>
      </c>
    </row>
    <row r="144" spans="1:10" x14ac:dyDescent="0.25">
      <c r="A144" t="s">
        <v>180</v>
      </c>
      <c r="B144" s="16">
        <v>45688</v>
      </c>
      <c r="C144" t="s">
        <v>17</v>
      </c>
      <c r="D144" t="s">
        <v>22</v>
      </c>
      <c r="E144" t="s">
        <v>23</v>
      </c>
      <c r="F144" t="s">
        <v>28</v>
      </c>
      <c r="G144" t="s">
        <v>15</v>
      </c>
      <c r="H144" s="2">
        <v>139.38999999999999</v>
      </c>
      <c r="I144">
        <v>20</v>
      </c>
      <c r="J144" s="2">
        <v>2787.8</v>
      </c>
    </row>
    <row r="145" spans="1:10" x14ac:dyDescent="0.25">
      <c r="A145" t="s">
        <v>181</v>
      </c>
      <c r="B145" s="16">
        <v>45793</v>
      </c>
      <c r="C145" t="s">
        <v>30</v>
      </c>
      <c r="D145" t="s">
        <v>26</v>
      </c>
      <c r="E145" t="s">
        <v>23</v>
      </c>
      <c r="F145" t="s">
        <v>42</v>
      </c>
      <c r="G145" t="s">
        <v>15</v>
      </c>
      <c r="H145" s="2">
        <v>96.19</v>
      </c>
      <c r="I145">
        <v>3</v>
      </c>
      <c r="J145" s="2">
        <v>288.57</v>
      </c>
    </row>
    <row r="146" spans="1:10" x14ac:dyDescent="0.25">
      <c r="A146" t="s">
        <v>182</v>
      </c>
      <c r="B146" s="16">
        <v>45738</v>
      </c>
      <c r="C146" t="s">
        <v>38</v>
      </c>
      <c r="D146" t="s">
        <v>31</v>
      </c>
      <c r="E146" t="s">
        <v>27</v>
      </c>
      <c r="F146" t="s">
        <v>42</v>
      </c>
      <c r="G146" t="s">
        <v>36</v>
      </c>
      <c r="H146" s="2">
        <v>92.66</v>
      </c>
      <c r="I146">
        <v>1</v>
      </c>
      <c r="J146" s="2">
        <v>92.66</v>
      </c>
    </row>
    <row r="147" spans="1:10" x14ac:dyDescent="0.25">
      <c r="A147" t="s">
        <v>183</v>
      </c>
      <c r="B147" s="16">
        <v>45807</v>
      </c>
      <c r="C147" t="s">
        <v>30</v>
      </c>
      <c r="D147" t="s">
        <v>35</v>
      </c>
      <c r="E147" t="s">
        <v>27</v>
      </c>
      <c r="F147" t="s">
        <v>32</v>
      </c>
      <c r="G147" t="s">
        <v>20</v>
      </c>
      <c r="H147" s="2">
        <v>38.119999999999997</v>
      </c>
      <c r="I147">
        <v>2</v>
      </c>
      <c r="J147" s="2">
        <v>76.239999999999995</v>
      </c>
    </row>
    <row r="148" spans="1:10" x14ac:dyDescent="0.25">
      <c r="A148" t="s">
        <v>184</v>
      </c>
      <c r="B148" s="16">
        <v>45890</v>
      </c>
      <c r="C148" t="s">
        <v>17</v>
      </c>
      <c r="D148" t="s">
        <v>26</v>
      </c>
      <c r="E148" t="s">
        <v>13</v>
      </c>
      <c r="F148" t="s">
        <v>39</v>
      </c>
      <c r="G148" t="s">
        <v>20</v>
      </c>
      <c r="H148" s="2">
        <v>164.1</v>
      </c>
      <c r="I148">
        <v>3</v>
      </c>
      <c r="J148" s="2">
        <v>492.3</v>
      </c>
    </row>
    <row r="149" spans="1:10" x14ac:dyDescent="0.25">
      <c r="A149" t="s">
        <v>185</v>
      </c>
      <c r="B149" s="16">
        <v>45959</v>
      </c>
      <c r="C149" t="s">
        <v>38</v>
      </c>
      <c r="D149" t="s">
        <v>22</v>
      </c>
      <c r="E149" t="s">
        <v>18</v>
      </c>
      <c r="F149" t="s">
        <v>14</v>
      </c>
      <c r="G149" t="s">
        <v>20</v>
      </c>
      <c r="H149" s="2">
        <v>140.59</v>
      </c>
      <c r="I149">
        <v>7</v>
      </c>
      <c r="J149" s="2">
        <v>984.13</v>
      </c>
    </row>
    <row r="150" spans="1:10" x14ac:dyDescent="0.25">
      <c r="A150" t="s">
        <v>186</v>
      </c>
      <c r="B150" s="16">
        <v>45734</v>
      </c>
      <c r="C150" t="s">
        <v>30</v>
      </c>
      <c r="D150" t="s">
        <v>22</v>
      </c>
      <c r="E150" t="s">
        <v>45</v>
      </c>
      <c r="F150" t="s">
        <v>14</v>
      </c>
      <c r="G150" t="s">
        <v>36</v>
      </c>
      <c r="H150" s="2">
        <v>41.33</v>
      </c>
      <c r="I150">
        <v>9</v>
      </c>
      <c r="J150" s="2">
        <v>371.97</v>
      </c>
    </row>
    <row r="151" spans="1:10" x14ac:dyDescent="0.25">
      <c r="A151" t="s">
        <v>187</v>
      </c>
      <c r="B151" s="16">
        <v>45962</v>
      </c>
      <c r="C151" t="s">
        <v>34</v>
      </c>
      <c r="D151" t="s">
        <v>31</v>
      </c>
      <c r="E151" t="s">
        <v>45</v>
      </c>
      <c r="F151" t="s">
        <v>61</v>
      </c>
      <c r="G151" t="s">
        <v>20</v>
      </c>
      <c r="H151" s="2">
        <v>91.3</v>
      </c>
      <c r="I151">
        <v>19</v>
      </c>
      <c r="J151" s="2">
        <v>1734.7</v>
      </c>
    </row>
    <row r="152" spans="1:10" x14ac:dyDescent="0.25">
      <c r="A152" t="s">
        <v>188</v>
      </c>
      <c r="B152" s="16">
        <v>45813</v>
      </c>
      <c r="C152" t="s">
        <v>34</v>
      </c>
      <c r="D152" t="s">
        <v>55</v>
      </c>
      <c r="E152" t="s">
        <v>18</v>
      </c>
      <c r="F152" t="s">
        <v>61</v>
      </c>
      <c r="G152" t="s">
        <v>36</v>
      </c>
      <c r="H152" s="2">
        <v>229.82</v>
      </c>
      <c r="I152">
        <v>13</v>
      </c>
      <c r="J152" s="2">
        <v>2987.66</v>
      </c>
    </row>
    <row r="153" spans="1:10" x14ac:dyDescent="0.25">
      <c r="A153" t="s">
        <v>189</v>
      </c>
      <c r="B153" s="16">
        <v>45699</v>
      </c>
      <c r="C153" t="s">
        <v>11</v>
      </c>
      <c r="D153" t="s">
        <v>31</v>
      </c>
      <c r="E153" t="s">
        <v>27</v>
      </c>
      <c r="F153" t="s">
        <v>32</v>
      </c>
      <c r="G153" t="s">
        <v>20</v>
      </c>
      <c r="H153" s="2">
        <v>82.7</v>
      </c>
      <c r="I153">
        <v>20</v>
      </c>
      <c r="J153" s="2">
        <v>1654</v>
      </c>
    </row>
    <row r="154" spans="1:10" x14ac:dyDescent="0.25">
      <c r="A154" t="s">
        <v>190</v>
      </c>
      <c r="B154" s="16">
        <v>45786</v>
      </c>
      <c r="C154" t="s">
        <v>11</v>
      </c>
      <c r="D154" t="s">
        <v>26</v>
      </c>
      <c r="E154" t="s">
        <v>27</v>
      </c>
      <c r="F154" t="s">
        <v>39</v>
      </c>
      <c r="G154" t="s">
        <v>20</v>
      </c>
      <c r="H154" s="2">
        <v>61.88</v>
      </c>
      <c r="I154">
        <v>1</v>
      </c>
      <c r="J154" s="2">
        <v>61.88</v>
      </c>
    </row>
    <row r="155" spans="1:10" x14ac:dyDescent="0.25">
      <c r="A155" t="s">
        <v>191</v>
      </c>
      <c r="B155" s="16">
        <v>45958</v>
      </c>
      <c r="C155" t="s">
        <v>17</v>
      </c>
      <c r="D155" t="s">
        <v>35</v>
      </c>
      <c r="E155" t="s">
        <v>18</v>
      </c>
      <c r="F155" t="s">
        <v>19</v>
      </c>
      <c r="G155" t="s">
        <v>15</v>
      </c>
      <c r="H155" s="2">
        <v>137.68</v>
      </c>
      <c r="I155">
        <v>1</v>
      </c>
      <c r="J155" s="2">
        <v>137.68</v>
      </c>
    </row>
    <row r="156" spans="1:10" x14ac:dyDescent="0.25">
      <c r="A156" t="s">
        <v>192</v>
      </c>
      <c r="B156" s="16">
        <v>45898</v>
      </c>
      <c r="C156" t="s">
        <v>17</v>
      </c>
      <c r="D156" t="s">
        <v>31</v>
      </c>
      <c r="E156" t="s">
        <v>13</v>
      </c>
      <c r="F156" t="s">
        <v>14</v>
      </c>
      <c r="G156" t="s">
        <v>20</v>
      </c>
      <c r="H156" s="2">
        <v>246.84</v>
      </c>
      <c r="I156">
        <v>17</v>
      </c>
      <c r="J156" s="2">
        <v>4196.28</v>
      </c>
    </row>
    <row r="157" spans="1:10" x14ac:dyDescent="0.25">
      <c r="A157" t="s">
        <v>193</v>
      </c>
      <c r="B157" s="16">
        <v>45881</v>
      </c>
      <c r="C157" t="s">
        <v>11</v>
      </c>
      <c r="D157" t="s">
        <v>31</v>
      </c>
      <c r="E157" t="s">
        <v>13</v>
      </c>
      <c r="F157" t="s">
        <v>61</v>
      </c>
      <c r="G157" t="s">
        <v>36</v>
      </c>
      <c r="H157" s="2">
        <v>83.25</v>
      </c>
      <c r="I157">
        <v>16</v>
      </c>
      <c r="J157" s="2">
        <v>1332</v>
      </c>
    </row>
    <row r="158" spans="1:10" x14ac:dyDescent="0.25">
      <c r="A158" t="s">
        <v>194</v>
      </c>
      <c r="B158" s="16">
        <v>45822</v>
      </c>
      <c r="C158" t="s">
        <v>30</v>
      </c>
      <c r="D158" t="s">
        <v>35</v>
      </c>
      <c r="E158" t="s">
        <v>41</v>
      </c>
      <c r="F158" t="s">
        <v>28</v>
      </c>
      <c r="G158" t="s">
        <v>36</v>
      </c>
      <c r="H158" s="2">
        <v>177.87</v>
      </c>
      <c r="I158">
        <v>4</v>
      </c>
      <c r="J158" s="2">
        <v>711.48</v>
      </c>
    </row>
    <row r="159" spans="1:10" x14ac:dyDescent="0.25">
      <c r="A159" t="s">
        <v>195</v>
      </c>
      <c r="B159" s="16">
        <v>45805</v>
      </c>
      <c r="C159" t="s">
        <v>25</v>
      </c>
      <c r="D159" t="s">
        <v>22</v>
      </c>
      <c r="E159" t="s">
        <v>41</v>
      </c>
      <c r="F159" t="s">
        <v>19</v>
      </c>
      <c r="G159" t="s">
        <v>36</v>
      </c>
      <c r="H159" s="2">
        <v>197.56</v>
      </c>
      <c r="I159">
        <v>13</v>
      </c>
      <c r="J159" s="2">
        <v>2568.2800000000002</v>
      </c>
    </row>
    <row r="160" spans="1:10" x14ac:dyDescent="0.25">
      <c r="A160" t="s">
        <v>196</v>
      </c>
      <c r="B160" s="16">
        <v>45787</v>
      </c>
      <c r="C160" t="s">
        <v>11</v>
      </c>
      <c r="D160" t="s">
        <v>31</v>
      </c>
      <c r="E160" t="s">
        <v>18</v>
      </c>
      <c r="F160" t="s">
        <v>39</v>
      </c>
      <c r="G160" t="s">
        <v>15</v>
      </c>
      <c r="H160" s="2">
        <v>82.28</v>
      </c>
      <c r="I160">
        <v>11</v>
      </c>
      <c r="J160" s="2">
        <v>905.08</v>
      </c>
    </row>
    <row r="161" spans="1:10" x14ac:dyDescent="0.25">
      <c r="A161" t="s">
        <v>197</v>
      </c>
      <c r="B161" s="16">
        <v>45994</v>
      </c>
      <c r="C161" t="s">
        <v>38</v>
      </c>
      <c r="D161" t="s">
        <v>31</v>
      </c>
      <c r="E161" t="s">
        <v>45</v>
      </c>
      <c r="F161" t="s">
        <v>14</v>
      </c>
      <c r="G161" t="s">
        <v>20</v>
      </c>
      <c r="H161" s="2">
        <v>190.21</v>
      </c>
      <c r="I161">
        <v>18</v>
      </c>
      <c r="J161" s="2">
        <v>3423.78</v>
      </c>
    </row>
    <row r="162" spans="1:10" x14ac:dyDescent="0.25">
      <c r="A162" t="s">
        <v>198</v>
      </c>
      <c r="B162" s="16">
        <v>45843</v>
      </c>
      <c r="C162" t="s">
        <v>38</v>
      </c>
      <c r="D162" t="s">
        <v>12</v>
      </c>
      <c r="E162" t="s">
        <v>41</v>
      </c>
      <c r="F162" t="s">
        <v>39</v>
      </c>
      <c r="G162" t="s">
        <v>15</v>
      </c>
      <c r="H162" s="2">
        <v>110.91</v>
      </c>
      <c r="I162">
        <v>20</v>
      </c>
      <c r="J162" s="2">
        <v>2218.1999999999998</v>
      </c>
    </row>
    <row r="163" spans="1:10" x14ac:dyDescent="0.25">
      <c r="A163" t="s">
        <v>199</v>
      </c>
      <c r="B163" s="16">
        <v>45762</v>
      </c>
      <c r="C163" t="s">
        <v>25</v>
      </c>
      <c r="D163" t="s">
        <v>26</v>
      </c>
      <c r="E163" t="s">
        <v>13</v>
      </c>
      <c r="F163" t="s">
        <v>61</v>
      </c>
      <c r="G163" t="s">
        <v>20</v>
      </c>
      <c r="H163" s="2">
        <v>169.11</v>
      </c>
      <c r="I163">
        <v>9</v>
      </c>
      <c r="J163" s="2">
        <v>1521.99</v>
      </c>
    </row>
    <row r="164" spans="1:10" x14ac:dyDescent="0.25">
      <c r="A164" t="s">
        <v>200</v>
      </c>
      <c r="B164" s="16">
        <v>45906</v>
      </c>
      <c r="C164" t="s">
        <v>11</v>
      </c>
      <c r="D164" t="s">
        <v>12</v>
      </c>
      <c r="E164" t="s">
        <v>18</v>
      </c>
      <c r="F164" t="s">
        <v>39</v>
      </c>
      <c r="G164" t="s">
        <v>15</v>
      </c>
      <c r="H164" s="2">
        <v>169.38</v>
      </c>
      <c r="I164">
        <v>4</v>
      </c>
      <c r="J164" s="2">
        <v>677.52</v>
      </c>
    </row>
    <row r="165" spans="1:10" x14ac:dyDescent="0.25">
      <c r="A165" t="s">
        <v>201</v>
      </c>
      <c r="B165" s="16">
        <v>46021</v>
      </c>
      <c r="C165" t="s">
        <v>34</v>
      </c>
      <c r="D165" t="s">
        <v>55</v>
      </c>
      <c r="E165" t="s">
        <v>45</v>
      </c>
      <c r="F165" t="s">
        <v>42</v>
      </c>
      <c r="G165" t="s">
        <v>36</v>
      </c>
      <c r="H165" s="2">
        <v>147.87</v>
      </c>
      <c r="I165">
        <v>6</v>
      </c>
      <c r="J165" s="2">
        <v>887.22</v>
      </c>
    </row>
    <row r="166" spans="1:10" x14ac:dyDescent="0.25">
      <c r="A166" t="s">
        <v>202</v>
      </c>
      <c r="B166" s="16">
        <v>45705</v>
      </c>
      <c r="C166" t="s">
        <v>11</v>
      </c>
      <c r="D166" t="s">
        <v>31</v>
      </c>
      <c r="E166" t="s">
        <v>45</v>
      </c>
      <c r="F166" t="s">
        <v>28</v>
      </c>
      <c r="G166" t="s">
        <v>15</v>
      </c>
      <c r="H166" s="2">
        <v>49.86</v>
      </c>
      <c r="I166">
        <v>8</v>
      </c>
      <c r="J166" s="2">
        <v>398.88</v>
      </c>
    </row>
    <row r="167" spans="1:10" x14ac:dyDescent="0.25">
      <c r="A167" t="s">
        <v>203</v>
      </c>
      <c r="B167" s="16">
        <v>45913</v>
      </c>
      <c r="C167" t="s">
        <v>25</v>
      </c>
      <c r="D167" t="s">
        <v>12</v>
      </c>
      <c r="E167" t="s">
        <v>13</v>
      </c>
      <c r="F167" t="s">
        <v>61</v>
      </c>
      <c r="G167" t="s">
        <v>36</v>
      </c>
      <c r="H167" s="2">
        <v>213.77</v>
      </c>
      <c r="I167">
        <v>10</v>
      </c>
      <c r="J167" s="2">
        <v>2137.6999999999998</v>
      </c>
    </row>
    <row r="168" spans="1:10" x14ac:dyDescent="0.25">
      <c r="A168" t="s">
        <v>204</v>
      </c>
      <c r="B168" s="16">
        <v>45899</v>
      </c>
      <c r="C168" t="s">
        <v>38</v>
      </c>
      <c r="D168" t="s">
        <v>55</v>
      </c>
      <c r="E168" t="s">
        <v>23</v>
      </c>
      <c r="F168" t="s">
        <v>61</v>
      </c>
      <c r="G168" t="s">
        <v>15</v>
      </c>
      <c r="H168" s="2">
        <v>100.57</v>
      </c>
      <c r="I168">
        <v>8</v>
      </c>
      <c r="J168" s="2">
        <v>804.56</v>
      </c>
    </row>
    <row r="169" spans="1:10" x14ac:dyDescent="0.25">
      <c r="A169" t="s">
        <v>205</v>
      </c>
      <c r="B169" s="16">
        <v>45964</v>
      </c>
      <c r="C169" t="s">
        <v>17</v>
      </c>
      <c r="D169" t="s">
        <v>26</v>
      </c>
      <c r="E169" t="s">
        <v>45</v>
      </c>
      <c r="F169" t="s">
        <v>32</v>
      </c>
      <c r="G169" t="s">
        <v>36</v>
      </c>
      <c r="H169" s="2">
        <v>71.03</v>
      </c>
      <c r="I169">
        <v>17</v>
      </c>
      <c r="J169" s="2">
        <v>1207.51</v>
      </c>
    </row>
    <row r="170" spans="1:10" x14ac:dyDescent="0.25">
      <c r="A170" t="s">
        <v>206</v>
      </c>
      <c r="B170" s="16">
        <v>45832</v>
      </c>
      <c r="C170" t="s">
        <v>34</v>
      </c>
      <c r="D170" t="s">
        <v>22</v>
      </c>
      <c r="E170" t="s">
        <v>13</v>
      </c>
      <c r="F170" t="s">
        <v>28</v>
      </c>
      <c r="G170" t="s">
        <v>36</v>
      </c>
      <c r="H170" s="2">
        <v>38.97</v>
      </c>
      <c r="I170">
        <v>17</v>
      </c>
      <c r="J170" s="2">
        <v>662.49</v>
      </c>
    </row>
    <row r="171" spans="1:10" x14ac:dyDescent="0.25">
      <c r="A171" t="s">
        <v>207</v>
      </c>
      <c r="B171" s="16">
        <v>45958</v>
      </c>
      <c r="C171" t="s">
        <v>17</v>
      </c>
      <c r="D171" t="s">
        <v>31</v>
      </c>
      <c r="E171" t="s">
        <v>23</v>
      </c>
      <c r="F171" t="s">
        <v>61</v>
      </c>
      <c r="G171" t="s">
        <v>20</v>
      </c>
      <c r="H171" s="2">
        <v>160</v>
      </c>
      <c r="I171">
        <v>19</v>
      </c>
      <c r="J171" s="2">
        <v>3040</v>
      </c>
    </row>
    <row r="172" spans="1:10" x14ac:dyDescent="0.25">
      <c r="A172" t="s">
        <v>208</v>
      </c>
      <c r="B172" s="16">
        <v>45905</v>
      </c>
      <c r="C172" t="s">
        <v>34</v>
      </c>
      <c r="D172" t="s">
        <v>55</v>
      </c>
      <c r="E172" t="s">
        <v>18</v>
      </c>
      <c r="F172" t="s">
        <v>61</v>
      </c>
      <c r="G172" t="s">
        <v>36</v>
      </c>
      <c r="H172" s="2">
        <v>179.06</v>
      </c>
      <c r="I172">
        <v>12</v>
      </c>
      <c r="J172" s="2">
        <v>2148.7199999999998</v>
      </c>
    </row>
    <row r="173" spans="1:10" x14ac:dyDescent="0.25">
      <c r="A173" t="s">
        <v>209</v>
      </c>
      <c r="B173" s="16">
        <v>45822</v>
      </c>
      <c r="C173" t="s">
        <v>17</v>
      </c>
      <c r="D173" t="s">
        <v>26</v>
      </c>
      <c r="E173" t="s">
        <v>18</v>
      </c>
      <c r="F173" t="s">
        <v>61</v>
      </c>
      <c r="G173" t="s">
        <v>15</v>
      </c>
      <c r="H173" s="2">
        <v>33.65</v>
      </c>
      <c r="I173">
        <v>7</v>
      </c>
      <c r="J173" s="2">
        <v>235.55</v>
      </c>
    </row>
    <row r="174" spans="1:10" x14ac:dyDescent="0.25">
      <c r="A174" t="s">
        <v>210</v>
      </c>
      <c r="B174" s="16">
        <v>45868</v>
      </c>
      <c r="C174" t="s">
        <v>34</v>
      </c>
      <c r="D174" t="s">
        <v>12</v>
      </c>
      <c r="E174" t="s">
        <v>41</v>
      </c>
      <c r="F174" t="s">
        <v>28</v>
      </c>
      <c r="G174" t="s">
        <v>36</v>
      </c>
      <c r="H174" s="2">
        <v>142.66</v>
      </c>
      <c r="I174">
        <v>2</v>
      </c>
      <c r="J174" s="2">
        <v>285.32</v>
      </c>
    </row>
    <row r="175" spans="1:10" x14ac:dyDescent="0.25">
      <c r="A175" t="s">
        <v>211</v>
      </c>
      <c r="B175" s="16">
        <v>45855</v>
      </c>
      <c r="C175" t="s">
        <v>38</v>
      </c>
      <c r="D175" t="s">
        <v>22</v>
      </c>
      <c r="E175" t="s">
        <v>23</v>
      </c>
      <c r="F175" t="s">
        <v>42</v>
      </c>
      <c r="G175" t="s">
        <v>20</v>
      </c>
      <c r="H175" s="2">
        <v>79.83</v>
      </c>
      <c r="I175">
        <v>5</v>
      </c>
      <c r="J175" s="2">
        <v>399.15</v>
      </c>
    </row>
    <row r="176" spans="1:10" x14ac:dyDescent="0.25">
      <c r="A176" t="s">
        <v>212</v>
      </c>
      <c r="B176" s="16">
        <v>45827</v>
      </c>
      <c r="C176" t="s">
        <v>38</v>
      </c>
      <c r="D176" t="s">
        <v>22</v>
      </c>
      <c r="E176" t="s">
        <v>18</v>
      </c>
      <c r="F176" t="s">
        <v>61</v>
      </c>
      <c r="G176" t="s">
        <v>15</v>
      </c>
      <c r="H176" s="2">
        <v>171.94</v>
      </c>
      <c r="I176">
        <v>4</v>
      </c>
      <c r="J176" s="2">
        <v>687.76</v>
      </c>
    </row>
    <row r="177" spans="1:10" x14ac:dyDescent="0.25">
      <c r="A177" t="s">
        <v>213</v>
      </c>
      <c r="B177" s="16">
        <v>45731</v>
      </c>
      <c r="C177" t="s">
        <v>17</v>
      </c>
      <c r="D177" t="s">
        <v>26</v>
      </c>
      <c r="E177" t="s">
        <v>45</v>
      </c>
      <c r="F177" t="s">
        <v>61</v>
      </c>
      <c r="G177" t="s">
        <v>36</v>
      </c>
      <c r="H177" s="2">
        <v>68.36</v>
      </c>
      <c r="I177">
        <v>14</v>
      </c>
      <c r="J177" s="2">
        <v>957.04</v>
      </c>
    </row>
    <row r="178" spans="1:10" x14ac:dyDescent="0.25">
      <c r="A178" t="s">
        <v>214</v>
      </c>
      <c r="B178" s="16">
        <v>45831</v>
      </c>
      <c r="C178" t="s">
        <v>17</v>
      </c>
      <c r="D178" t="s">
        <v>31</v>
      </c>
      <c r="E178" t="s">
        <v>27</v>
      </c>
      <c r="F178" t="s">
        <v>19</v>
      </c>
      <c r="G178" t="s">
        <v>36</v>
      </c>
      <c r="H178" s="2">
        <v>182.01</v>
      </c>
      <c r="I178">
        <v>20</v>
      </c>
      <c r="J178" s="2">
        <v>3640.2</v>
      </c>
    </row>
    <row r="179" spans="1:10" x14ac:dyDescent="0.25">
      <c r="A179" t="s">
        <v>215</v>
      </c>
      <c r="B179" s="16">
        <v>46003</v>
      </c>
      <c r="C179" t="s">
        <v>38</v>
      </c>
      <c r="D179" t="s">
        <v>35</v>
      </c>
      <c r="E179" t="s">
        <v>27</v>
      </c>
      <c r="F179" t="s">
        <v>28</v>
      </c>
      <c r="G179" t="s">
        <v>36</v>
      </c>
      <c r="H179" s="2">
        <v>115.08</v>
      </c>
      <c r="I179">
        <v>18</v>
      </c>
      <c r="J179" s="2">
        <v>2071.44</v>
      </c>
    </row>
    <row r="180" spans="1:10" x14ac:dyDescent="0.25">
      <c r="A180" t="s">
        <v>216</v>
      </c>
      <c r="B180" s="16">
        <v>45935</v>
      </c>
      <c r="C180" t="s">
        <v>25</v>
      </c>
      <c r="D180" t="s">
        <v>22</v>
      </c>
      <c r="E180" t="s">
        <v>23</v>
      </c>
      <c r="F180" t="s">
        <v>28</v>
      </c>
      <c r="G180" t="s">
        <v>20</v>
      </c>
      <c r="H180" s="2">
        <v>236.08</v>
      </c>
      <c r="I180">
        <v>2</v>
      </c>
      <c r="J180" s="2">
        <v>472.16</v>
      </c>
    </row>
    <row r="181" spans="1:10" x14ac:dyDescent="0.25">
      <c r="A181" t="s">
        <v>217</v>
      </c>
      <c r="B181" s="16">
        <v>45805</v>
      </c>
      <c r="C181" t="s">
        <v>17</v>
      </c>
      <c r="D181" t="s">
        <v>22</v>
      </c>
      <c r="E181" t="s">
        <v>41</v>
      </c>
      <c r="F181" t="s">
        <v>19</v>
      </c>
      <c r="G181" t="s">
        <v>20</v>
      </c>
      <c r="H181" s="2">
        <v>60.25</v>
      </c>
      <c r="I181">
        <v>8</v>
      </c>
      <c r="J181" s="2">
        <v>482</v>
      </c>
    </row>
    <row r="182" spans="1:10" x14ac:dyDescent="0.25">
      <c r="A182" t="s">
        <v>218</v>
      </c>
      <c r="B182" s="16">
        <v>46018</v>
      </c>
      <c r="C182" t="s">
        <v>38</v>
      </c>
      <c r="D182" t="s">
        <v>26</v>
      </c>
      <c r="E182" t="s">
        <v>27</v>
      </c>
      <c r="F182" t="s">
        <v>32</v>
      </c>
      <c r="G182" t="s">
        <v>15</v>
      </c>
      <c r="H182" s="2">
        <v>105.03</v>
      </c>
      <c r="I182">
        <v>4</v>
      </c>
      <c r="J182" s="2">
        <v>420.12</v>
      </c>
    </row>
    <row r="183" spans="1:10" x14ac:dyDescent="0.25">
      <c r="A183" t="s">
        <v>219</v>
      </c>
      <c r="B183" s="16">
        <v>45681</v>
      </c>
      <c r="C183" t="s">
        <v>11</v>
      </c>
      <c r="D183" t="s">
        <v>35</v>
      </c>
      <c r="E183" t="s">
        <v>13</v>
      </c>
      <c r="F183" t="s">
        <v>32</v>
      </c>
      <c r="G183" t="s">
        <v>36</v>
      </c>
      <c r="H183" s="2">
        <v>54.96</v>
      </c>
      <c r="I183">
        <v>11</v>
      </c>
      <c r="J183" s="2">
        <v>604.55999999999995</v>
      </c>
    </row>
    <row r="184" spans="1:10" x14ac:dyDescent="0.25">
      <c r="A184" t="s">
        <v>220</v>
      </c>
      <c r="B184" s="16">
        <v>45732</v>
      </c>
      <c r="C184" t="s">
        <v>25</v>
      </c>
      <c r="D184" t="s">
        <v>31</v>
      </c>
      <c r="E184" t="s">
        <v>18</v>
      </c>
      <c r="F184" t="s">
        <v>28</v>
      </c>
      <c r="G184" t="s">
        <v>15</v>
      </c>
      <c r="H184" s="2">
        <v>233.43</v>
      </c>
      <c r="I184">
        <v>8</v>
      </c>
      <c r="J184" s="2">
        <v>1867.44</v>
      </c>
    </row>
    <row r="185" spans="1:10" x14ac:dyDescent="0.25">
      <c r="A185" t="s">
        <v>221</v>
      </c>
      <c r="B185" s="16">
        <v>45745</v>
      </c>
      <c r="C185" t="s">
        <v>11</v>
      </c>
      <c r="D185" t="s">
        <v>55</v>
      </c>
      <c r="E185" t="s">
        <v>41</v>
      </c>
      <c r="F185" t="s">
        <v>42</v>
      </c>
      <c r="G185" t="s">
        <v>20</v>
      </c>
      <c r="H185" s="2">
        <v>223.01</v>
      </c>
      <c r="I185">
        <v>6</v>
      </c>
      <c r="J185" s="2">
        <v>1338.06</v>
      </c>
    </row>
    <row r="186" spans="1:10" x14ac:dyDescent="0.25">
      <c r="A186" t="s">
        <v>222</v>
      </c>
      <c r="B186" s="16">
        <v>45781</v>
      </c>
      <c r="C186" t="s">
        <v>25</v>
      </c>
      <c r="D186" t="s">
        <v>26</v>
      </c>
      <c r="E186" t="s">
        <v>23</v>
      </c>
      <c r="F186" t="s">
        <v>61</v>
      </c>
      <c r="G186" t="s">
        <v>20</v>
      </c>
      <c r="H186" s="2">
        <v>86.75</v>
      </c>
      <c r="I186">
        <v>16</v>
      </c>
      <c r="J186" s="2">
        <v>1388</v>
      </c>
    </row>
    <row r="187" spans="1:10" x14ac:dyDescent="0.25">
      <c r="A187" t="s">
        <v>223</v>
      </c>
      <c r="B187" s="16">
        <v>45788</v>
      </c>
      <c r="C187" t="s">
        <v>34</v>
      </c>
      <c r="D187" t="s">
        <v>12</v>
      </c>
      <c r="E187" t="s">
        <v>45</v>
      </c>
      <c r="F187" t="s">
        <v>39</v>
      </c>
      <c r="G187" t="s">
        <v>36</v>
      </c>
      <c r="H187" s="2">
        <v>175.2</v>
      </c>
      <c r="I187">
        <v>15</v>
      </c>
      <c r="J187" s="2">
        <v>2628</v>
      </c>
    </row>
    <row r="188" spans="1:10" x14ac:dyDescent="0.25">
      <c r="A188" t="s">
        <v>224</v>
      </c>
      <c r="B188" s="16">
        <v>45805</v>
      </c>
      <c r="C188" t="s">
        <v>30</v>
      </c>
      <c r="D188" t="s">
        <v>22</v>
      </c>
      <c r="E188" t="s">
        <v>41</v>
      </c>
      <c r="F188" t="s">
        <v>32</v>
      </c>
      <c r="G188" t="s">
        <v>20</v>
      </c>
      <c r="H188" s="2">
        <v>209.79</v>
      </c>
      <c r="I188">
        <v>18</v>
      </c>
      <c r="J188" s="2">
        <v>3776.22</v>
      </c>
    </row>
    <row r="189" spans="1:10" x14ac:dyDescent="0.25">
      <c r="A189" t="s">
        <v>225</v>
      </c>
      <c r="B189" s="16">
        <v>45811</v>
      </c>
      <c r="C189" t="s">
        <v>17</v>
      </c>
      <c r="D189" t="s">
        <v>35</v>
      </c>
      <c r="E189" t="s">
        <v>41</v>
      </c>
      <c r="F189" t="s">
        <v>39</v>
      </c>
      <c r="G189" t="s">
        <v>36</v>
      </c>
      <c r="H189" s="2">
        <v>152.13999999999999</v>
      </c>
      <c r="I189">
        <v>14</v>
      </c>
      <c r="J189" s="2">
        <v>2129.96</v>
      </c>
    </row>
    <row r="190" spans="1:10" x14ac:dyDescent="0.25">
      <c r="A190" t="s">
        <v>226</v>
      </c>
      <c r="B190" s="16">
        <v>45759</v>
      </c>
      <c r="C190" t="s">
        <v>38</v>
      </c>
      <c r="D190" t="s">
        <v>22</v>
      </c>
      <c r="E190" t="s">
        <v>23</v>
      </c>
      <c r="F190" t="s">
        <v>61</v>
      </c>
      <c r="G190" t="s">
        <v>20</v>
      </c>
      <c r="H190" s="2">
        <v>146.52000000000001</v>
      </c>
      <c r="I190">
        <v>13</v>
      </c>
      <c r="J190" s="2">
        <v>1904.76</v>
      </c>
    </row>
    <row r="191" spans="1:10" x14ac:dyDescent="0.25">
      <c r="A191" t="s">
        <v>227</v>
      </c>
      <c r="B191" s="16">
        <v>45841</v>
      </c>
      <c r="C191" t="s">
        <v>34</v>
      </c>
      <c r="D191" t="s">
        <v>12</v>
      </c>
      <c r="E191" t="s">
        <v>13</v>
      </c>
      <c r="F191" t="s">
        <v>19</v>
      </c>
      <c r="G191" t="s">
        <v>20</v>
      </c>
      <c r="H191" s="2">
        <v>83.21</v>
      </c>
      <c r="I191">
        <v>19</v>
      </c>
      <c r="J191" s="2">
        <v>1580.99</v>
      </c>
    </row>
    <row r="192" spans="1:10" x14ac:dyDescent="0.25">
      <c r="A192" t="s">
        <v>228</v>
      </c>
      <c r="B192" s="16">
        <v>45860</v>
      </c>
      <c r="C192" t="s">
        <v>11</v>
      </c>
      <c r="D192" t="s">
        <v>55</v>
      </c>
      <c r="E192" t="s">
        <v>27</v>
      </c>
      <c r="F192" t="s">
        <v>39</v>
      </c>
      <c r="G192" t="s">
        <v>20</v>
      </c>
      <c r="H192" s="2">
        <v>50.48</v>
      </c>
      <c r="I192">
        <v>9</v>
      </c>
      <c r="J192" s="2">
        <v>454.32</v>
      </c>
    </row>
    <row r="193" spans="1:10" x14ac:dyDescent="0.25">
      <c r="A193" t="s">
        <v>229</v>
      </c>
      <c r="B193" s="16">
        <v>45683</v>
      </c>
      <c r="C193" t="s">
        <v>17</v>
      </c>
      <c r="D193" t="s">
        <v>31</v>
      </c>
      <c r="E193" t="s">
        <v>13</v>
      </c>
      <c r="F193" t="s">
        <v>39</v>
      </c>
      <c r="G193" t="s">
        <v>15</v>
      </c>
      <c r="H193" s="2">
        <v>227.39</v>
      </c>
      <c r="I193">
        <v>20</v>
      </c>
      <c r="J193" s="2">
        <v>4547.8</v>
      </c>
    </row>
    <row r="194" spans="1:10" x14ac:dyDescent="0.25">
      <c r="A194" t="s">
        <v>230</v>
      </c>
      <c r="B194" s="16">
        <v>45968</v>
      </c>
      <c r="C194" t="s">
        <v>30</v>
      </c>
      <c r="D194" t="s">
        <v>12</v>
      </c>
      <c r="E194" t="s">
        <v>23</v>
      </c>
      <c r="F194" t="s">
        <v>42</v>
      </c>
      <c r="G194" t="s">
        <v>36</v>
      </c>
      <c r="H194" s="2">
        <v>228.09</v>
      </c>
      <c r="I194">
        <v>12</v>
      </c>
      <c r="J194" s="2">
        <v>2737.08</v>
      </c>
    </row>
    <row r="195" spans="1:10" x14ac:dyDescent="0.25">
      <c r="A195" t="s">
        <v>231</v>
      </c>
      <c r="B195" s="16">
        <v>46005</v>
      </c>
      <c r="C195" t="s">
        <v>17</v>
      </c>
      <c r="D195" t="s">
        <v>22</v>
      </c>
      <c r="E195" t="s">
        <v>27</v>
      </c>
      <c r="F195" t="s">
        <v>28</v>
      </c>
      <c r="G195" t="s">
        <v>15</v>
      </c>
      <c r="H195" s="2">
        <v>169.28</v>
      </c>
      <c r="I195">
        <v>5</v>
      </c>
      <c r="J195" s="2">
        <v>846.4</v>
      </c>
    </row>
    <row r="196" spans="1:10" x14ac:dyDescent="0.25">
      <c r="A196" t="s">
        <v>232</v>
      </c>
      <c r="B196" s="16">
        <v>45816</v>
      </c>
      <c r="C196" t="s">
        <v>11</v>
      </c>
      <c r="D196" t="s">
        <v>55</v>
      </c>
      <c r="E196" t="s">
        <v>13</v>
      </c>
      <c r="F196" t="s">
        <v>28</v>
      </c>
      <c r="G196" t="s">
        <v>15</v>
      </c>
      <c r="H196" s="2">
        <v>104.59</v>
      </c>
      <c r="I196">
        <v>15</v>
      </c>
      <c r="J196" s="2">
        <v>1568.85</v>
      </c>
    </row>
    <row r="197" spans="1:10" x14ac:dyDescent="0.25">
      <c r="A197" t="s">
        <v>233</v>
      </c>
      <c r="B197" s="16">
        <v>45704</v>
      </c>
      <c r="C197" t="s">
        <v>34</v>
      </c>
      <c r="D197" t="s">
        <v>12</v>
      </c>
      <c r="E197" t="s">
        <v>41</v>
      </c>
      <c r="F197" t="s">
        <v>14</v>
      </c>
      <c r="G197" t="s">
        <v>15</v>
      </c>
      <c r="H197" s="2">
        <v>106.83</v>
      </c>
      <c r="I197">
        <v>10</v>
      </c>
      <c r="J197" s="2">
        <v>1068.3</v>
      </c>
    </row>
    <row r="198" spans="1:10" x14ac:dyDescent="0.25">
      <c r="A198" t="s">
        <v>234</v>
      </c>
      <c r="B198" s="16">
        <v>45725</v>
      </c>
      <c r="C198" t="s">
        <v>34</v>
      </c>
      <c r="D198" t="s">
        <v>55</v>
      </c>
      <c r="E198" t="s">
        <v>18</v>
      </c>
      <c r="F198" t="s">
        <v>32</v>
      </c>
      <c r="G198" t="s">
        <v>15</v>
      </c>
      <c r="H198" s="2">
        <v>189.71</v>
      </c>
      <c r="I198">
        <v>18</v>
      </c>
      <c r="J198" s="2">
        <v>3414.78</v>
      </c>
    </row>
    <row r="199" spans="1:10" x14ac:dyDescent="0.25">
      <c r="A199" t="s">
        <v>235</v>
      </c>
      <c r="B199" s="16">
        <v>45789</v>
      </c>
      <c r="C199" t="s">
        <v>34</v>
      </c>
      <c r="D199" t="s">
        <v>12</v>
      </c>
      <c r="E199" t="s">
        <v>13</v>
      </c>
      <c r="F199" t="s">
        <v>39</v>
      </c>
      <c r="G199" t="s">
        <v>15</v>
      </c>
      <c r="H199" s="2">
        <v>227.36</v>
      </c>
      <c r="I199">
        <v>16</v>
      </c>
      <c r="J199" s="2">
        <v>3637.76</v>
      </c>
    </row>
    <row r="200" spans="1:10" x14ac:dyDescent="0.25">
      <c r="A200" t="s">
        <v>236</v>
      </c>
      <c r="B200" s="16">
        <v>45897</v>
      </c>
      <c r="C200" t="s">
        <v>30</v>
      </c>
      <c r="D200" t="s">
        <v>26</v>
      </c>
      <c r="E200" t="s">
        <v>27</v>
      </c>
      <c r="F200" t="s">
        <v>28</v>
      </c>
      <c r="G200" t="s">
        <v>20</v>
      </c>
      <c r="H200" s="2">
        <v>225.16</v>
      </c>
      <c r="I200">
        <v>3</v>
      </c>
      <c r="J200" s="2">
        <v>675.48</v>
      </c>
    </row>
    <row r="201" spans="1:10" x14ac:dyDescent="0.25">
      <c r="A201" t="s">
        <v>237</v>
      </c>
      <c r="B201" s="16">
        <v>45861</v>
      </c>
      <c r="C201" t="s">
        <v>34</v>
      </c>
      <c r="D201" t="s">
        <v>22</v>
      </c>
      <c r="E201" t="s">
        <v>41</v>
      </c>
      <c r="F201" t="s">
        <v>19</v>
      </c>
      <c r="G201" t="s">
        <v>36</v>
      </c>
      <c r="H201" s="2">
        <v>201.57</v>
      </c>
      <c r="I201">
        <v>18</v>
      </c>
      <c r="J201" s="2">
        <v>3628.26</v>
      </c>
    </row>
    <row r="202" spans="1:10" x14ac:dyDescent="0.25">
      <c r="A202" t="s">
        <v>238</v>
      </c>
      <c r="B202" s="16">
        <v>45932</v>
      </c>
      <c r="C202" t="s">
        <v>38</v>
      </c>
      <c r="D202" t="s">
        <v>35</v>
      </c>
      <c r="E202" t="s">
        <v>27</v>
      </c>
      <c r="F202" t="s">
        <v>28</v>
      </c>
      <c r="G202" t="s">
        <v>20</v>
      </c>
      <c r="H202" s="2">
        <v>171.25</v>
      </c>
      <c r="I202">
        <v>4</v>
      </c>
      <c r="J202" s="2">
        <v>685</v>
      </c>
    </row>
    <row r="203" spans="1:10" x14ac:dyDescent="0.25">
      <c r="A203" t="s">
        <v>239</v>
      </c>
      <c r="B203" s="16">
        <v>45792</v>
      </c>
      <c r="C203" t="s">
        <v>38</v>
      </c>
      <c r="D203" t="s">
        <v>12</v>
      </c>
      <c r="E203" t="s">
        <v>13</v>
      </c>
      <c r="F203" t="s">
        <v>19</v>
      </c>
      <c r="G203" t="s">
        <v>20</v>
      </c>
      <c r="H203" s="2">
        <v>48.51</v>
      </c>
      <c r="I203">
        <v>19</v>
      </c>
      <c r="J203" s="2">
        <v>921.69</v>
      </c>
    </row>
    <row r="204" spans="1:10" x14ac:dyDescent="0.25">
      <c r="A204" t="s">
        <v>240</v>
      </c>
      <c r="B204" s="16">
        <v>45777</v>
      </c>
      <c r="C204" t="s">
        <v>11</v>
      </c>
      <c r="D204" t="s">
        <v>55</v>
      </c>
      <c r="E204" t="s">
        <v>18</v>
      </c>
      <c r="F204" t="s">
        <v>32</v>
      </c>
      <c r="G204" t="s">
        <v>20</v>
      </c>
      <c r="H204" s="2">
        <v>65.56</v>
      </c>
      <c r="I204">
        <v>16</v>
      </c>
      <c r="J204" s="2">
        <v>1048.96</v>
      </c>
    </row>
    <row r="205" spans="1:10" x14ac:dyDescent="0.25">
      <c r="A205" t="s">
        <v>241</v>
      </c>
      <c r="B205" s="16">
        <v>45771</v>
      </c>
      <c r="C205" t="s">
        <v>17</v>
      </c>
      <c r="D205" t="s">
        <v>31</v>
      </c>
      <c r="E205" t="s">
        <v>27</v>
      </c>
      <c r="F205" t="s">
        <v>32</v>
      </c>
      <c r="G205" t="s">
        <v>20</v>
      </c>
      <c r="H205" s="2">
        <v>227.68</v>
      </c>
      <c r="I205">
        <v>3</v>
      </c>
      <c r="J205" s="2">
        <v>683.04</v>
      </c>
    </row>
    <row r="206" spans="1:10" x14ac:dyDescent="0.25">
      <c r="A206" t="s">
        <v>242</v>
      </c>
      <c r="B206" s="16">
        <v>45867</v>
      </c>
      <c r="C206" t="s">
        <v>30</v>
      </c>
      <c r="D206" t="s">
        <v>22</v>
      </c>
      <c r="E206" t="s">
        <v>45</v>
      </c>
      <c r="F206" t="s">
        <v>32</v>
      </c>
      <c r="G206" t="s">
        <v>36</v>
      </c>
      <c r="H206" s="2">
        <v>163.41</v>
      </c>
      <c r="I206">
        <v>4</v>
      </c>
      <c r="J206" s="2">
        <v>653.64</v>
      </c>
    </row>
    <row r="207" spans="1:10" x14ac:dyDescent="0.25">
      <c r="A207" t="s">
        <v>243</v>
      </c>
      <c r="B207" s="16">
        <v>45717</v>
      </c>
      <c r="C207" t="s">
        <v>30</v>
      </c>
      <c r="D207" t="s">
        <v>55</v>
      </c>
      <c r="E207" t="s">
        <v>23</v>
      </c>
      <c r="F207" t="s">
        <v>61</v>
      </c>
      <c r="G207" t="s">
        <v>36</v>
      </c>
      <c r="H207" s="2">
        <v>32.020000000000003</v>
      </c>
      <c r="I207">
        <v>4</v>
      </c>
      <c r="J207" s="2">
        <v>128.08000000000001</v>
      </c>
    </row>
    <row r="208" spans="1:10" x14ac:dyDescent="0.25">
      <c r="A208" t="s">
        <v>244</v>
      </c>
      <c r="B208" s="16">
        <v>45847</v>
      </c>
      <c r="C208" t="s">
        <v>38</v>
      </c>
      <c r="D208" t="s">
        <v>55</v>
      </c>
      <c r="E208" t="s">
        <v>27</v>
      </c>
      <c r="F208" t="s">
        <v>28</v>
      </c>
      <c r="G208" t="s">
        <v>15</v>
      </c>
      <c r="H208" s="2">
        <v>52.32</v>
      </c>
      <c r="I208">
        <v>18</v>
      </c>
      <c r="J208" s="2">
        <v>941.76</v>
      </c>
    </row>
    <row r="209" spans="1:10" x14ac:dyDescent="0.25">
      <c r="A209" t="s">
        <v>245</v>
      </c>
      <c r="B209" s="16">
        <v>45870</v>
      </c>
      <c r="C209" t="s">
        <v>38</v>
      </c>
      <c r="D209" t="s">
        <v>55</v>
      </c>
      <c r="E209" t="s">
        <v>41</v>
      </c>
      <c r="F209" t="s">
        <v>32</v>
      </c>
      <c r="G209" t="s">
        <v>15</v>
      </c>
      <c r="H209" s="2">
        <v>175.97</v>
      </c>
      <c r="I209">
        <v>4</v>
      </c>
      <c r="J209" s="2">
        <v>703.88</v>
      </c>
    </row>
    <row r="210" spans="1:10" x14ac:dyDescent="0.25">
      <c r="A210" t="s">
        <v>246</v>
      </c>
      <c r="B210" s="16">
        <v>46011</v>
      </c>
      <c r="C210" t="s">
        <v>30</v>
      </c>
      <c r="D210" t="s">
        <v>31</v>
      </c>
      <c r="E210" t="s">
        <v>41</v>
      </c>
      <c r="F210" t="s">
        <v>14</v>
      </c>
      <c r="G210" t="s">
        <v>36</v>
      </c>
      <c r="H210" s="2">
        <v>31.11</v>
      </c>
      <c r="I210">
        <v>12</v>
      </c>
      <c r="J210" s="2">
        <v>373.32</v>
      </c>
    </row>
    <row r="211" spans="1:10" x14ac:dyDescent="0.25">
      <c r="A211" t="s">
        <v>247</v>
      </c>
      <c r="B211" s="16">
        <v>45708</v>
      </c>
      <c r="C211" t="s">
        <v>25</v>
      </c>
      <c r="D211" t="s">
        <v>12</v>
      </c>
      <c r="E211" t="s">
        <v>13</v>
      </c>
      <c r="F211" t="s">
        <v>19</v>
      </c>
      <c r="G211" t="s">
        <v>36</v>
      </c>
      <c r="H211" s="2">
        <v>65.38</v>
      </c>
      <c r="I211">
        <v>12</v>
      </c>
      <c r="J211" s="2">
        <v>784.56</v>
      </c>
    </row>
    <row r="212" spans="1:10" x14ac:dyDescent="0.25">
      <c r="A212" t="s">
        <v>248</v>
      </c>
      <c r="B212" s="16">
        <v>45799</v>
      </c>
      <c r="C212" t="s">
        <v>11</v>
      </c>
      <c r="D212" t="s">
        <v>31</v>
      </c>
      <c r="E212" t="s">
        <v>45</v>
      </c>
      <c r="F212" t="s">
        <v>28</v>
      </c>
      <c r="G212" t="s">
        <v>15</v>
      </c>
      <c r="H212" s="2">
        <v>150.72</v>
      </c>
      <c r="I212">
        <v>7</v>
      </c>
      <c r="J212" s="2">
        <v>1055.04</v>
      </c>
    </row>
    <row r="213" spans="1:10" x14ac:dyDescent="0.25">
      <c r="A213" t="s">
        <v>249</v>
      </c>
      <c r="B213" s="16">
        <v>45986</v>
      </c>
      <c r="C213" t="s">
        <v>11</v>
      </c>
      <c r="D213" t="s">
        <v>22</v>
      </c>
      <c r="E213" t="s">
        <v>13</v>
      </c>
      <c r="F213" t="s">
        <v>14</v>
      </c>
      <c r="G213" t="s">
        <v>15</v>
      </c>
      <c r="H213" s="2">
        <v>182.22</v>
      </c>
      <c r="I213">
        <v>20</v>
      </c>
      <c r="J213" s="2">
        <v>3644.4</v>
      </c>
    </row>
    <row r="214" spans="1:10" x14ac:dyDescent="0.25">
      <c r="A214" t="s">
        <v>250</v>
      </c>
      <c r="B214" s="16">
        <v>45947</v>
      </c>
      <c r="C214" t="s">
        <v>11</v>
      </c>
      <c r="D214" t="s">
        <v>55</v>
      </c>
      <c r="E214" t="s">
        <v>23</v>
      </c>
      <c r="F214" t="s">
        <v>42</v>
      </c>
      <c r="G214" t="s">
        <v>15</v>
      </c>
      <c r="H214" s="2">
        <v>173.43</v>
      </c>
      <c r="I214">
        <v>7</v>
      </c>
      <c r="J214" s="2">
        <v>1214.01</v>
      </c>
    </row>
    <row r="215" spans="1:10" x14ac:dyDescent="0.25">
      <c r="A215" t="s">
        <v>251</v>
      </c>
      <c r="B215" s="16">
        <v>45777</v>
      </c>
      <c r="C215" t="s">
        <v>30</v>
      </c>
      <c r="D215" t="s">
        <v>55</v>
      </c>
      <c r="E215" t="s">
        <v>45</v>
      </c>
      <c r="F215" t="s">
        <v>32</v>
      </c>
      <c r="G215" t="s">
        <v>15</v>
      </c>
      <c r="H215" s="2">
        <v>79.34</v>
      </c>
      <c r="I215">
        <v>11</v>
      </c>
      <c r="J215" s="2">
        <v>872.74</v>
      </c>
    </row>
    <row r="216" spans="1:10" x14ac:dyDescent="0.25">
      <c r="A216" t="s">
        <v>252</v>
      </c>
      <c r="B216" s="16">
        <v>45724</v>
      </c>
      <c r="C216" t="s">
        <v>34</v>
      </c>
      <c r="D216" t="s">
        <v>26</v>
      </c>
      <c r="E216" t="s">
        <v>45</v>
      </c>
      <c r="F216" t="s">
        <v>28</v>
      </c>
      <c r="G216" t="s">
        <v>15</v>
      </c>
      <c r="H216" s="2">
        <v>186.68</v>
      </c>
      <c r="I216">
        <v>18</v>
      </c>
      <c r="J216" s="2">
        <v>3360.24</v>
      </c>
    </row>
    <row r="217" spans="1:10" x14ac:dyDescent="0.25">
      <c r="A217" t="s">
        <v>253</v>
      </c>
      <c r="B217" s="16">
        <v>45725</v>
      </c>
      <c r="C217" t="s">
        <v>34</v>
      </c>
      <c r="D217" t="s">
        <v>26</v>
      </c>
      <c r="E217" t="s">
        <v>18</v>
      </c>
      <c r="F217" t="s">
        <v>32</v>
      </c>
      <c r="G217" t="s">
        <v>15</v>
      </c>
      <c r="H217" s="2">
        <v>82.19</v>
      </c>
      <c r="I217">
        <v>1</v>
      </c>
      <c r="J217" s="2">
        <v>82.19</v>
      </c>
    </row>
    <row r="218" spans="1:10" x14ac:dyDescent="0.25">
      <c r="A218" t="s">
        <v>254</v>
      </c>
      <c r="B218" s="16">
        <v>45747</v>
      </c>
      <c r="C218" t="s">
        <v>11</v>
      </c>
      <c r="D218" t="s">
        <v>26</v>
      </c>
      <c r="E218" t="s">
        <v>27</v>
      </c>
      <c r="F218" t="s">
        <v>61</v>
      </c>
      <c r="G218" t="s">
        <v>20</v>
      </c>
      <c r="H218" s="2">
        <v>101.59</v>
      </c>
      <c r="I218">
        <v>9</v>
      </c>
      <c r="J218" s="2">
        <v>914.31</v>
      </c>
    </row>
    <row r="219" spans="1:10" x14ac:dyDescent="0.25">
      <c r="A219" t="s">
        <v>255</v>
      </c>
      <c r="B219" s="16">
        <v>45716</v>
      </c>
      <c r="C219" t="s">
        <v>38</v>
      </c>
      <c r="D219" t="s">
        <v>31</v>
      </c>
      <c r="E219" t="s">
        <v>13</v>
      </c>
      <c r="F219" t="s">
        <v>42</v>
      </c>
      <c r="G219" t="s">
        <v>20</v>
      </c>
      <c r="H219" s="2">
        <v>194.23</v>
      </c>
      <c r="I219">
        <v>3</v>
      </c>
      <c r="J219" s="2">
        <v>582.69000000000005</v>
      </c>
    </row>
    <row r="220" spans="1:10" x14ac:dyDescent="0.25">
      <c r="A220" t="s">
        <v>256</v>
      </c>
      <c r="B220" s="16">
        <v>45713</v>
      </c>
      <c r="C220" t="s">
        <v>25</v>
      </c>
      <c r="D220" t="s">
        <v>26</v>
      </c>
      <c r="E220" t="s">
        <v>18</v>
      </c>
      <c r="F220" t="s">
        <v>19</v>
      </c>
      <c r="G220" t="s">
        <v>20</v>
      </c>
      <c r="H220" s="2">
        <v>172.92</v>
      </c>
      <c r="I220">
        <v>15</v>
      </c>
      <c r="J220" s="2">
        <v>2593.8000000000002</v>
      </c>
    </row>
    <row r="221" spans="1:10" x14ac:dyDescent="0.25">
      <c r="A221" t="s">
        <v>257</v>
      </c>
      <c r="B221" s="16">
        <v>45995</v>
      </c>
      <c r="C221" t="s">
        <v>34</v>
      </c>
      <c r="D221" t="s">
        <v>31</v>
      </c>
      <c r="E221" t="s">
        <v>27</v>
      </c>
      <c r="F221" t="s">
        <v>19</v>
      </c>
      <c r="G221" t="s">
        <v>15</v>
      </c>
      <c r="H221" s="2">
        <v>216.83</v>
      </c>
      <c r="I221">
        <v>17</v>
      </c>
      <c r="J221" s="2">
        <v>3686.11</v>
      </c>
    </row>
    <row r="222" spans="1:10" x14ac:dyDescent="0.25">
      <c r="A222" t="s">
        <v>258</v>
      </c>
      <c r="B222" s="16">
        <v>45903</v>
      </c>
      <c r="C222" t="s">
        <v>38</v>
      </c>
      <c r="D222" t="s">
        <v>12</v>
      </c>
      <c r="E222" t="s">
        <v>45</v>
      </c>
      <c r="F222" t="s">
        <v>61</v>
      </c>
      <c r="G222" t="s">
        <v>20</v>
      </c>
      <c r="H222" s="2">
        <v>174.67</v>
      </c>
      <c r="I222">
        <v>13</v>
      </c>
      <c r="J222" s="2">
        <v>2270.71</v>
      </c>
    </row>
    <row r="223" spans="1:10" x14ac:dyDescent="0.25">
      <c r="A223" t="s">
        <v>259</v>
      </c>
      <c r="B223" s="16">
        <v>45885</v>
      </c>
      <c r="C223" t="s">
        <v>11</v>
      </c>
      <c r="D223" t="s">
        <v>35</v>
      </c>
      <c r="E223" t="s">
        <v>18</v>
      </c>
      <c r="F223" t="s">
        <v>14</v>
      </c>
      <c r="G223" t="s">
        <v>15</v>
      </c>
      <c r="H223" s="2">
        <v>155.03</v>
      </c>
      <c r="I223">
        <v>3</v>
      </c>
      <c r="J223" s="2">
        <v>465.09</v>
      </c>
    </row>
    <row r="224" spans="1:10" x14ac:dyDescent="0.25">
      <c r="A224" t="s">
        <v>260</v>
      </c>
      <c r="B224" s="16">
        <v>45722</v>
      </c>
      <c r="C224" t="s">
        <v>25</v>
      </c>
      <c r="D224" t="s">
        <v>12</v>
      </c>
      <c r="E224" t="s">
        <v>18</v>
      </c>
      <c r="F224" t="s">
        <v>42</v>
      </c>
      <c r="G224" t="s">
        <v>20</v>
      </c>
      <c r="H224" s="2">
        <v>50.61</v>
      </c>
      <c r="I224">
        <v>9</v>
      </c>
      <c r="J224" s="2">
        <v>455.49</v>
      </c>
    </row>
    <row r="225" spans="1:10" x14ac:dyDescent="0.25">
      <c r="A225" t="s">
        <v>261</v>
      </c>
      <c r="B225" s="16">
        <v>45824</v>
      </c>
      <c r="C225" t="s">
        <v>25</v>
      </c>
      <c r="D225" t="s">
        <v>55</v>
      </c>
      <c r="E225" t="s">
        <v>13</v>
      </c>
      <c r="F225" t="s">
        <v>61</v>
      </c>
      <c r="G225" t="s">
        <v>20</v>
      </c>
      <c r="H225" s="2">
        <v>110.9</v>
      </c>
      <c r="I225">
        <v>13</v>
      </c>
      <c r="J225" s="2">
        <v>1441.7</v>
      </c>
    </row>
    <row r="226" spans="1:10" x14ac:dyDescent="0.25">
      <c r="A226" t="s">
        <v>262</v>
      </c>
      <c r="B226" s="16">
        <v>45967</v>
      </c>
      <c r="C226" t="s">
        <v>11</v>
      </c>
      <c r="D226" t="s">
        <v>12</v>
      </c>
      <c r="E226" t="s">
        <v>45</v>
      </c>
      <c r="F226" t="s">
        <v>39</v>
      </c>
      <c r="G226" t="s">
        <v>20</v>
      </c>
      <c r="H226" s="2">
        <v>88.34</v>
      </c>
      <c r="I226">
        <v>14</v>
      </c>
      <c r="J226" s="2">
        <v>1236.76</v>
      </c>
    </row>
    <row r="227" spans="1:10" x14ac:dyDescent="0.25">
      <c r="A227" t="s">
        <v>263</v>
      </c>
      <c r="B227" s="16">
        <v>45991</v>
      </c>
      <c r="C227" t="s">
        <v>17</v>
      </c>
      <c r="D227" t="s">
        <v>26</v>
      </c>
      <c r="E227" t="s">
        <v>41</v>
      </c>
      <c r="F227" t="s">
        <v>61</v>
      </c>
      <c r="G227" t="s">
        <v>15</v>
      </c>
      <c r="H227" s="2">
        <v>83.68</v>
      </c>
      <c r="I227">
        <v>18</v>
      </c>
      <c r="J227" s="2">
        <v>1506.24</v>
      </c>
    </row>
    <row r="228" spans="1:10" x14ac:dyDescent="0.25">
      <c r="A228" t="s">
        <v>264</v>
      </c>
      <c r="B228" s="16">
        <v>45869</v>
      </c>
      <c r="C228" t="s">
        <v>38</v>
      </c>
      <c r="D228" t="s">
        <v>31</v>
      </c>
      <c r="E228" t="s">
        <v>41</v>
      </c>
      <c r="F228" t="s">
        <v>28</v>
      </c>
      <c r="G228" t="s">
        <v>15</v>
      </c>
      <c r="H228" s="2">
        <v>244.06</v>
      </c>
      <c r="I228">
        <v>11</v>
      </c>
      <c r="J228" s="2">
        <v>2684.66</v>
      </c>
    </row>
    <row r="229" spans="1:10" x14ac:dyDescent="0.25">
      <c r="A229" t="s">
        <v>265</v>
      </c>
      <c r="B229" s="16">
        <v>45818</v>
      </c>
      <c r="C229" t="s">
        <v>34</v>
      </c>
      <c r="D229" t="s">
        <v>12</v>
      </c>
      <c r="E229" t="s">
        <v>13</v>
      </c>
      <c r="F229" t="s">
        <v>32</v>
      </c>
      <c r="G229" t="s">
        <v>15</v>
      </c>
      <c r="H229" s="2">
        <v>116.48</v>
      </c>
      <c r="I229">
        <v>14</v>
      </c>
      <c r="J229" s="2">
        <v>1630.72</v>
      </c>
    </row>
    <row r="230" spans="1:10" x14ac:dyDescent="0.25">
      <c r="A230" t="s">
        <v>266</v>
      </c>
      <c r="B230" s="16">
        <v>46009</v>
      </c>
      <c r="C230" t="s">
        <v>11</v>
      </c>
      <c r="D230" t="s">
        <v>22</v>
      </c>
      <c r="E230" t="s">
        <v>45</v>
      </c>
      <c r="F230" t="s">
        <v>19</v>
      </c>
      <c r="G230" t="s">
        <v>36</v>
      </c>
      <c r="H230" s="2">
        <v>226.25</v>
      </c>
      <c r="I230">
        <v>16</v>
      </c>
      <c r="J230" s="2">
        <v>3620</v>
      </c>
    </row>
    <row r="231" spans="1:10" x14ac:dyDescent="0.25">
      <c r="A231" t="s">
        <v>267</v>
      </c>
      <c r="B231" s="16">
        <v>45707</v>
      </c>
      <c r="C231" t="s">
        <v>30</v>
      </c>
      <c r="D231" t="s">
        <v>55</v>
      </c>
      <c r="E231" t="s">
        <v>45</v>
      </c>
      <c r="F231" t="s">
        <v>42</v>
      </c>
      <c r="G231" t="s">
        <v>20</v>
      </c>
      <c r="H231" s="2">
        <v>168.85</v>
      </c>
      <c r="I231">
        <v>12</v>
      </c>
      <c r="J231" s="2">
        <v>2026.2</v>
      </c>
    </row>
    <row r="232" spans="1:10" x14ac:dyDescent="0.25">
      <c r="A232" t="s">
        <v>268</v>
      </c>
      <c r="B232" s="16">
        <v>45945</v>
      </c>
      <c r="C232" t="s">
        <v>17</v>
      </c>
      <c r="D232" t="s">
        <v>22</v>
      </c>
      <c r="E232" t="s">
        <v>41</v>
      </c>
      <c r="F232" t="s">
        <v>32</v>
      </c>
      <c r="G232" t="s">
        <v>20</v>
      </c>
      <c r="H232" s="2">
        <v>204.86</v>
      </c>
      <c r="I232">
        <v>11</v>
      </c>
      <c r="J232" s="2">
        <v>2253.46</v>
      </c>
    </row>
    <row r="233" spans="1:10" x14ac:dyDescent="0.25">
      <c r="A233" t="s">
        <v>269</v>
      </c>
      <c r="B233" s="16">
        <v>45874</v>
      </c>
      <c r="C233" t="s">
        <v>34</v>
      </c>
      <c r="D233" t="s">
        <v>55</v>
      </c>
      <c r="E233" t="s">
        <v>13</v>
      </c>
      <c r="F233" t="s">
        <v>32</v>
      </c>
      <c r="G233" t="s">
        <v>15</v>
      </c>
      <c r="H233" s="2">
        <v>140.58000000000001</v>
      </c>
      <c r="I233">
        <v>2</v>
      </c>
      <c r="J233" s="2">
        <v>281.16000000000003</v>
      </c>
    </row>
    <row r="234" spans="1:10" x14ac:dyDescent="0.25">
      <c r="A234" t="s">
        <v>270</v>
      </c>
      <c r="B234" s="16">
        <v>45953</v>
      </c>
      <c r="C234" t="s">
        <v>30</v>
      </c>
      <c r="D234" t="s">
        <v>26</v>
      </c>
      <c r="E234" t="s">
        <v>27</v>
      </c>
      <c r="F234" t="s">
        <v>61</v>
      </c>
      <c r="G234" t="s">
        <v>15</v>
      </c>
      <c r="H234" s="2">
        <v>156.91999999999999</v>
      </c>
      <c r="I234">
        <v>17</v>
      </c>
      <c r="J234" s="2">
        <v>2667.64</v>
      </c>
    </row>
    <row r="235" spans="1:10" x14ac:dyDescent="0.25">
      <c r="A235" t="s">
        <v>271</v>
      </c>
      <c r="B235" s="16">
        <v>45713</v>
      </c>
      <c r="C235" t="s">
        <v>25</v>
      </c>
      <c r="D235" t="s">
        <v>35</v>
      </c>
      <c r="E235" t="s">
        <v>45</v>
      </c>
      <c r="F235" t="s">
        <v>39</v>
      </c>
      <c r="G235" t="s">
        <v>36</v>
      </c>
      <c r="H235" s="2">
        <v>138.35</v>
      </c>
      <c r="I235">
        <v>12</v>
      </c>
      <c r="J235" s="2">
        <v>1660.2</v>
      </c>
    </row>
    <row r="236" spans="1:10" x14ac:dyDescent="0.25">
      <c r="A236" t="s">
        <v>272</v>
      </c>
      <c r="B236" s="16">
        <v>45951</v>
      </c>
      <c r="C236" t="s">
        <v>38</v>
      </c>
      <c r="D236" t="s">
        <v>55</v>
      </c>
      <c r="E236" t="s">
        <v>18</v>
      </c>
      <c r="F236" t="s">
        <v>42</v>
      </c>
      <c r="G236" t="s">
        <v>20</v>
      </c>
      <c r="H236" s="2">
        <v>72.95</v>
      </c>
      <c r="I236">
        <v>8</v>
      </c>
      <c r="J236" s="2">
        <v>583.6</v>
      </c>
    </row>
    <row r="237" spans="1:10" x14ac:dyDescent="0.25">
      <c r="A237" t="s">
        <v>273</v>
      </c>
      <c r="B237" s="16">
        <v>45987</v>
      </c>
      <c r="C237" t="s">
        <v>11</v>
      </c>
      <c r="D237" t="s">
        <v>55</v>
      </c>
      <c r="E237" t="s">
        <v>27</v>
      </c>
      <c r="F237" t="s">
        <v>39</v>
      </c>
      <c r="G237" t="s">
        <v>20</v>
      </c>
      <c r="H237" s="2">
        <v>188.94</v>
      </c>
      <c r="I237">
        <v>18</v>
      </c>
      <c r="J237" s="2">
        <v>3400.92</v>
      </c>
    </row>
    <row r="238" spans="1:10" x14ac:dyDescent="0.25">
      <c r="A238" t="s">
        <v>274</v>
      </c>
      <c r="B238" s="16">
        <v>45794</v>
      </c>
      <c r="C238" t="s">
        <v>30</v>
      </c>
      <c r="D238" t="s">
        <v>35</v>
      </c>
      <c r="E238" t="s">
        <v>27</v>
      </c>
      <c r="F238" t="s">
        <v>39</v>
      </c>
      <c r="G238" t="s">
        <v>36</v>
      </c>
      <c r="H238" s="2">
        <v>91.77</v>
      </c>
      <c r="I238">
        <v>1</v>
      </c>
      <c r="J238" s="2">
        <v>91.77</v>
      </c>
    </row>
    <row r="239" spans="1:10" x14ac:dyDescent="0.25">
      <c r="A239" t="s">
        <v>275</v>
      </c>
      <c r="B239" s="16">
        <v>45831</v>
      </c>
      <c r="C239" t="s">
        <v>11</v>
      </c>
      <c r="D239" t="s">
        <v>26</v>
      </c>
      <c r="E239" t="s">
        <v>23</v>
      </c>
      <c r="F239" t="s">
        <v>42</v>
      </c>
      <c r="G239" t="s">
        <v>20</v>
      </c>
      <c r="H239" s="2">
        <v>35.35</v>
      </c>
      <c r="I239">
        <v>12</v>
      </c>
      <c r="J239" s="2">
        <v>424.2</v>
      </c>
    </row>
    <row r="240" spans="1:10" x14ac:dyDescent="0.25">
      <c r="A240" t="s">
        <v>276</v>
      </c>
      <c r="B240" s="16">
        <v>45863</v>
      </c>
      <c r="C240" t="s">
        <v>30</v>
      </c>
      <c r="D240" t="s">
        <v>12</v>
      </c>
      <c r="E240" t="s">
        <v>27</v>
      </c>
      <c r="F240" t="s">
        <v>19</v>
      </c>
      <c r="G240" t="s">
        <v>15</v>
      </c>
      <c r="H240" s="2">
        <v>172</v>
      </c>
      <c r="I240">
        <v>3</v>
      </c>
      <c r="J240" s="2">
        <v>516</v>
      </c>
    </row>
    <row r="241" spans="1:10" x14ac:dyDescent="0.25">
      <c r="A241" t="s">
        <v>277</v>
      </c>
      <c r="B241" s="16">
        <v>45929</v>
      </c>
      <c r="C241" t="s">
        <v>38</v>
      </c>
      <c r="D241" t="s">
        <v>31</v>
      </c>
      <c r="E241" t="s">
        <v>41</v>
      </c>
      <c r="F241" t="s">
        <v>32</v>
      </c>
      <c r="G241" t="s">
        <v>15</v>
      </c>
      <c r="H241" s="2">
        <v>68.959999999999994</v>
      </c>
      <c r="I241">
        <v>7</v>
      </c>
      <c r="J241" s="2">
        <v>482.72</v>
      </c>
    </row>
    <row r="242" spans="1:10" x14ac:dyDescent="0.25">
      <c r="A242" t="s">
        <v>278</v>
      </c>
      <c r="B242" s="16">
        <v>45847</v>
      </c>
      <c r="C242" t="s">
        <v>17</v>
      </c>
      <c r="D242" t="s">
        <v>35</v>
      </c>
      <c r="E242" t="s">
        <v>18</v>
      </c>
      <c r="F242" t="s">
        <v>42</v>
      </c>
      <c r="G242" t="s">
        <v>15</v>
      </c>
      <c r="H242" s="2">
        <v>236.9</v>
      </c>
      <c r="I242">
        <v>10</v>
      </c>
      <c r="J242" s="2">
        <v>2369</v>
      </c>
    </row>
    <row r="243" spans="1:10" x14ac:dyDescent="0.25">
      <c r="A243" t="s">
        <v>279</v>
      </c>
      <c r="B243" s="16">
        <v>45684</v>
      </c>
      <c r="C243" t="s">
        <v>30</v>
      </c>
      <c r="D243" t="s">
        <v>55</v>
      </c>
      <c r="E243" t="s">
        <v>45</v>
      </c>
      <c r="F243" t="s">
        <v>28</v>
      </c>
      <c r="G243" t="s">
        <v>15</v>
      </c>
      <c r="H243" s="2">
        <v>239.86</v>
      </c>
      <c r="I243">
        <v>5</v>
      </c>
      <c r="J243" s="2">
        <v>1199.3</v>
      </c>
    </row>
    <row r="244" spans="1:10" x14ac:dyDescent="0.25">
      <c r="A244" t="s">
        <v>280</v>
      </c>
      <c r="B244" s="16">
        <v>45797</v>
      </c>
      <c r="C244" t="s">
        <v>17</v>
      </c>
      <c r="D244" t="s">
        <v>31</v>
      </c>
      <c r="E244" t="s">
        <v>41</v>
      </c>
      <c r="F244" t="s">
        <v>42</v>
      </c>
      <c r="G244" t="s">
        <v>36</v>
      </c>
      <c r="H244" s="2">
        <v>231.27</v>
      </c>
      <c r="I244">
        <v>15</v>
      </c>
      <c r="J244" s="2">
        <v>3469.05</v>
      </c>
    </row>
    <row r="245" spans="1:10" x14ac:dyDescent="0.25">
      <c r="A245" t="s">
        <v>281</v>
      </c>
      <c r="B245" s="16">
        <v>45870</v>
      </c>
      <c r="C245" t="s">
        <v>30</v>
      </c>
      <c r="D245" t="s">
        <v>55</v>
      </c>
      <c r="E245" t="s">
        <v>45</v>
      </c>
      <c r="F245" t="s">
        <v>32</v>
      </c>
      <c r="G245" t="s">
        <v>36</v>
      </c>
      <c r="H245" s="2">
        <v>111.43</v>
      </c>
      <c r="I245">
        <v>9</v>
      </c>
      <c r="J245" s="2">
        <v>1002.87</v>
      </c>
    </row>
    <row r="246" spans="1:10" x14ac:dyDescent="0.25">
      <c r="A246" t="s">
        <v>282</v>
      </c>
      <c r="B246" s="16">
        <v>45714</v>
      </c>
      <c r="C246" t="s">
        <v>17</v>
      </c>
      <c r="D246" t="s">
        <v>12</v>
      </c>
      <c r="E246" t="s">
        <v>18</v>
      </c>
      <c r="F246" t="s">
        <v>61</v>
      </c>
      <c r="G246" t="s">
        <v>20</v>
      </c>
      <c r="H246" s="2">
        <v>33.4</v>
      </c>
      <c r="I246">
        <v>10</v>
      </c>
      <c r="J246" s="2">
        <v>334</v>
      </c>
    </row>
    <row r="247" spans="1:10" x14ac:dyDescent="0.25">
      <c r="A247" t="s">
        <v>283</v>
      </c>
      <c r="B247" s="16">
        <v>45999</v>
      </c>
      <c r="C247" t="s">
        <v>11</v>
      </c>
      <c r="D247" t="s">
        <v>26</v>
      </c>
      <c r="E247" t="s">
        <v>41</v>
      </c>
      <c r="F247" t="s">
        <v>42</v>
      </c>
      <c r="G247" t="s">
        <v>15</v>
      </c>
      <c r="H247" s="2">
        <v>234.23</v>
      </c>
      <c r="I247">
        <v>10</v>
      </c>
      <c r="J247" s="2">
        <v>2342.3000000000002</v>
      </c>
    </row>
    <row r="248" spans="1:10" x14ac:dyDescent="0.25">
      <c r="A248" t="s">
        <v>284</v>
      </c>
      <c r="B248" s="16">
        <v>45661</v>
      </c>
      <c r="C248" t="s">
        <v>34</v>
      </c>
      <c r="D248" t="s">
        <v>26</v>
      </c>
      <c r="E248" t="s">
        <v>23</v>
      </c>
      <c r="F248" t="s">
        <v>39</v>
      </c>
      <c r="G248" t="s">
        <v>36</v>
      </c>
      <c r="H248" s="2">
        <v>124.2</v>
      </c>
      <c r="I248">
        <v>7</v>
      </c>
      <c r="J248" s="2">
        <v>869.4</v>
      </c>
    </row>
    <row r="249" spans="1:10" x14ac:dyDescent="0.25">
      <c r="A249" t="s">
        <v>285</v>
      </c>
      <c r="B249" s="16">
        <v>45806</v>
      </c>
      <c r="C249" t="s">
        <v>11</v>
      </c>
      <c r="D249" t="s">
        <v>22</v>
      </c>
      <c r="E249" t="s">
        <v>41</v>
      </c>
      <c r="F249" t="s">
        <v>28</v>
      </c>
      <c r="G249" t="s">
        <v>36</v>
      </c>
      <c r="H249" s="2">
        <v>242.66</v>
      </c>
      <c r="I249">
        <v>11</v>
      </c>
      <c r="J249" s="2">
        <v>2669.26</v>
      </c>
    </row>
    <row r="250" spans="1:10" x14ac:dyDescent="0.25">
      <c r="A250" t="s">
        <v>286</v>
      </c>
      <c r="B250" s="16">
        <v>45747</v>
      </c>
      <c r="C250" t="s">
        <v>38</v>
      </c>
      <c r="D250" t="s">
        <v>55</v>
      </c>
      <c r="E250" t="s">
        <v>27</v>
      </c>
      <c r="F250" t="s">
        <v>14</v>
      </c>
      <c r="G250" t="s">
        <v>20</v>
      </c>
      <c r="H250" s="2">
        <v>242</v>
      </c>
      <c r="I250">
        <v>5</v>
      </c>
      <c r="J250" s="2">
        <v>1210</v>
      </c>
    </row>
    <row r="251" spans="1:10" x14ac:dyDescent="0.25">
      <c r="A251" t="s">
        <v>287</v>
      </c>
      <c r="B251" s="16">
        <v>45944</v>
      </c>
      <c r="C251" t="s">
        <v>11</v>
      </c>
      <c r="D251" t="s">
        <v>31</v>
      </c>
      <c r="E251" t="s">
        <v>27</v>
      </c>
      <c r="F251" t="s">
        <v>19</v>
      </c>
      <c r="G251" t="s">
        <v>36</v>
      </c>
      <c r="H251" s="2">
        <v>217.66</v>
      </c>
      <c r="I251">
        <v>12</v>
      </c>
      <c r="J251" s="2">
        <v>2611.92</v>
      </c>
    </row>
    <row r="252" spans="1:10" x14ac:dyDescent="0.25">
      <c r="A252" t="s">
        <v>288</v>
      </c>
      <c r="B252" s="16">
        <v>45667</v>
      </c>
      <c r="C252" t="s">
        <v>11</v>
      </c>
      <c r="D252" t="s">
        <v>35</v>
      </c>
      <c r="E252" t="s">
        <v>18</v>
      </c>
      <c r="F252" t="s">
        <v>61</v>
      </c>
      <c r="G252" t="s">
        <v>20</v>
      </c>
      <c r="H252" s="2">
        <v>94.78</v>
      </c>
      <c r="I252">
        <v>15</v>
      </c>
      <c r="J252" s="2">
        <v>1421.7</v>
      </c>
    </row>
    <row r="253" spans="1:10" x14ac:dyDescent="0.25">
      <c r="A253" t="s">
        <v>289</v>
      </c>
      <c r="B253" s="16">
        <v>45865</v>
      </c>
      <c r="C253" t="s">
        <v>34</v>
      </c>
      <c r="D253" t="s">
        <v>22</v>
      </c>
      <c r="E253" t="s">
        <v>41</v>
      </c>
      <c r="F253" t="s">
        <v>19</v>
      </c>
      <c r="G253" t="s">
        <v>36</v>
      </c>
      <c r="H253" s="2">
        <v>114.72</v>
      </c>
      <c r="I253">
        <v>14</v>
      </c>
      <c r="J253" s="2">
        <v>1606.08</v>
      </c>
    </row>
    <row r="254" spans="1:10" x14ac:dyDescent="0.25">
      <c r="A254" t="s">
        <v>290</v>
      </c>
      <c r="B254" s="16">
        <v>45745</v>
      </c>
      <c r="C254" t="s">
        <v>38</v>
      </c>
      <c r="D254" t="s">
        <v>12</v>
      </c>
      <c r="E254" t="s">
        <v>13</v>
      </c>
      <c r="F254" t="s">
        <v>19</v>
      </c>
      <c r="G254" t="s">
        <v>36</v>
      </c>
      <c r="H254" s="2">
        <v>217.25</v>
      </c>
      <c r="I254">
        <v>20</v>
      </c>
      <c r="J254" s="2">
        <v>4345</v>
      </c>
    </row>
    <row r="255" spans="1:10" x14ac:dyDescent="0.25">
      <c r="A255" t="s">
        <v>291</v>
      </c>
      <c r="B255" s="16">
        <v>45712</v>
      </c>
      <c r="C255" t="s">
        <v>38</v>
      </c>
      <c r="D255" t="s">
        <v>55</v>
      </c>
      <c r="E255" t="s">
        <v>41</v>
      </c>
      <c r="F255" t="s">
        <v>42</v>
      </c>
      <c r="G255" t="s">
        <v>15</v>
      </c>
      <c r="H255" s="2">
        <v>99.72</v>
      </c>
      <c r="I255">
        <v>8</v>
      </c>
      <c r="J255" s="2">
        <v>797.76</v>
      </c>
    </row>
    <row r="256" spans="1:10" x14ac:dyDescent="0.25">
      <c r="A256" t="s">
        <v>292</v>
      </c>
      <c r="B256" s="16">
        <v>45860</v>
      </c>
      <c r="C256" t="s">
        <v>17</v>
      </c>
      <c r="D256" t="s">
        <v>35</v>
      </c>
      <c r="E256" t="s">
        <v>23</v>
      </c>
      <c r="F256" t="s">
        <v>32</v>
      </c>
      <c r="G256" t="s">
        <v>15</v>
      </c>
      <c r="H256" s="2">
        <v>67.290000000000006</v>
      </c>
      <c r="I256">
        <v>10</v>
      </c>
      <c r="J256" s="2">
        <v>672.9</v>
      </c>
    </row>
    <row r="257" spans="1:10" x14ac:dyDescent="0.25">
      <c r="A257" t="s">
        <v>293</v>
      </c>
      <c r="B257" s="16">
        <v>45697</v>
      </c>
      <c r="C257" t="s">
        <v>17</v>
      </c>
      <c r="D257" t="s">
        <v>22</v>
      </c>
      <c r="E257" t="s">
        <v>18</v>
      </c>
      <c r="F257" t="s">
        <v>42</v>
      </c>
      <c r="G257" t="s">
        <v>15</v>
      </c>
      <c r="H257" s="2">
        <v>152.5</v>
      </c>
      <c r="I257">
        <v>17</v>
      </c>
      <c r="J257" s="2">
        <v>2592.5</v>
      </c>
    </row>
    <row r="258" spans="1:10" x14ac:dyDescent="0.25">
      <c r="A258" t="s">
        <v>294</v>
      </c>
      <c r="B258" s="16">
        <v>45836</v>
      </c>
      <c r="C258" t="s">
        <v>17</v>
      </c>
      <c r="D258" t="s">
        <v>12</v>
      </c>
      <c r="E258" t="s">
        <v>23</v>
      </c>
      <c r="F258" t="s">
        <v>14</v>
      </c>
      <c r="G258" t="s">
        <v>15</v>
      </c>
      <c r="H258" s="2">
        <v>235.95</v>
      </c>
      <c r="I258">
        <v>12</v>
      </c>
      <c r="J258" s="2">
        <v>2831.4</v>
      </c>
    </row>
    <row r="259" spans="1:10" x14ac:dyDescent="0.25">
      <c r="A259" t="s">
        <v>295</v>
      </c>
      <c r="B259" s="16">
        <v>45732</v>
      </c>
      <c r="C259" t="s">
        <v>30</v>
      </c>
      <c r="D259" t="s">
        <v>26</v>
      </c>
      <c r="E259" t="s">
        <v>18</v>
      </c>
      <c r="F259" t="s">
        <v>14</v>
      </c>
      <c r="G259" t="s">
        <v>20</v>
      </c>
      <c r="H259" s="2">
        <v>183.13</v>
      </c>
      <c r="I259">
        <v>9</v>
      </c>
      <c r="J259" s="2">
        <v>1648.17</v>
      </c>
    </row>
    <row r="260" spans="1:10" x14ac:dyDescent="0.25">
      <c r="A260" t="s">
        <v>296</v>
      </c>
      <c r="B260" s="16">
        <v>45696</v>
      </c>
      <c r="C260" t="s">
        <v>17</v>
      </c>
      <c r="D260" t="s">
        <v>31</v>
      </c>
      <c r="E260" t="s">
        <v>41</v>
      </c>
      <c r="F260" t="s">
        <v>39</v>
      </c>
      <c r="G260" t="s">
        <v>20</v>
      </c>
      <c r="H260" s="2">
        <v>155.41</v>
      </c>
      <c r="I260">
        <v>6</v>
      </c>
      <c r="J260" s="2">
        <v>932.46</v>
      </c>
    </row>
    <row r="261" spans="1:10" x14ac:dyDescent="0.25">
      <c r="A261" t="s">
        <v>297</v>
      </c>
      <c r="B261" s="16">
        <v>45954</v>
      </c>
      <c r="C261" t="s">
        <v>17</v>
      </c>
      <c r="D261" t="s">
        <v>55</v>
      </c>
      <c r="E261" t="s">
        <v>27</v>
      </c>
      <c r="F261" t="s">
        <v>28</v>
      </c>
      <c r="G261" t="s">
        <v>20</v>
      </c>
      <c r="H261" s="2">
        <v>51.38</v>
      </c>
      <c r="I261">
        <v>15</v>
      </c>
      <c r="J261" s="2">
        <v>770.7</v>
      </c>
    </row>
    <row r="262" spans="1:10" x14ac:dyDescent="0.25">
      <c r="A262" t="s">
        <v>298</v>
      </c>
      <c r="B262" s="16">
        <v>45823</v>
      </c>
      <c r="C262" t="s">
        <v>30</v>
      </c>
      <c r="D262" t="s">
        <v>31</v>
      </c>
      <c r="E262" t="s">
        <v>45</v>
      </c>
      <c r="F262" t="s">
        <v>61</v>
      </c>
      <c r="G262" t="s">
        <v>36</v>
      </c>
      <c r="H262" s="2">
        <v>165.3</v>
      </c>
      <c r="I262">
        <v>11</v>
      </c>
      <c r="J262" s="2">
        <v>1818.3</v>
      </c>
    </row>
    <row r="263" spans="1:10" x14ac:dyDescent="0.25">
      <c r="A263" t="s">
        <v>299</v>
      </c>
      <c r="B263" s="16">
        <v>45981</v>
      </c>
      <c r="C263" t="s">
        <v>34</v>
      </c>
      <c r="D263" t="s">
        <v>55</v>
      </c>
      <c r="E263" t="s">
        <v>45</v>
      </c>
      <c r="F263" t="s">
        <v>32</v>
      </c>
      <c r="G263" t="s">
        <v>20</v>
      </c>
      <c r="H263" s="2">
        <v>247.81</v>
      </c>
      <c r="I263">
        <v>10</v>
      </c>
      <c r="J263" s="2">
        <v>2478.1</v>
      </c>
    </row>
    <row r="264" spans="1:10" x14ac:dyDescent="0.25">
      <c r="A264" t="s">
        <v>300</v>
      </c>
      <c r="B264" s="16">
        <v>45695</v>
      </c>
      <c r="C264" t="s">
        <v>38</v>
      </c>
      <c r="D264" t="s">
        <v>31</v>
      </c>
      <c r="E264" t="s">
        <v>45</v>
      </c>
      <c r="F264" t="s">
        <v>19</v>
      </c>
      <c r="G264" t="s">
        <v>36</v>
      </c>
      <c r="H264" s="2">
        <v>60.82</v>
      </c>
      <c r="I264">
        <v>10</v>
      </c>
      <c r="J264" s="2">
        <v>608.20000000000005</v>
      </c>
    </row>
    <row r="265" spans="1:10" x14ac:dyDescent="0.25">
      <c r="A265" t="s">
        <v>301</v>
      </c>
      <c r="B265" s="16">
        <v>45804</v>
      </c>
      <c r="C265" t="s">
        <v>17</v>
      </c>
      <c r="D265" t="s">
        <v>22</v>
      </c>
      <c r="E265" t="s">
        <v>18</v>
      </c>
      <c r="F265" t="s">
        <v>42</v>
      </c>
      <c r="G265" t="s">
        <v>20</v>
      </c>
      <c r="H265" s="2">
        <v>144.03</v>
      </c>
      <c r="I265">
        <v>3</v>
      </c>
      <c r="J265" s="2">
        <v>432.09</v>
      </c>
    </row>
    <row r="266" spans="1:10" x14ac:dyDescent="0.25">
      <c r="A266" t="s">
        <v>302</v>
      </c>
      <c r="B266" s="16">
        <v>45854</v>
      </c>
      <c r="C266" t="s">
        <v>25</v>
      </c>
      <c r="D266" t="s">
        <v>55</v>
      </c>
      <c r="E266" t="s">
        <v>27</v>
      </c>
      <c r="F266" t="s">
        <v>19</v>
      </c>
      <c r="G266" t="s">
        <v>36</v>
      </c>
      <c r="H266" s="2">
        <v>223.02</v>
      </c>
      <c r="I266">
        <v>15</v>
      </c>
      <c r="J266" s="2">
        <v>3345.3</v>
      </c>
    </row>
    <row r="267" spans="1:10" x14ac:dyDescent="0.25">
      <c r="A267" t="s">
        <v>303</v>
      </c>
      <c r="B267" s="16">
        <v>45950</v>
      </c>
      <c r="C267" t="s">
        <v>34</v>
      </c>
      <c r="D267" t="s">
        <v>55</v>
      </c>
      <c r="E267" t="s">
        <v>41</v>
      </c>
      <c r="F267" t="s">
        <v>42</v>
      </c>
      <c r="G267" t="s">
        <v>15</v>
      </c>
      <c r="H267" s="2">
        <v>192.97</v>
      </c>
      <c r="I267">
        <v>7</v>
      </c>
      <c r="J267" s="2">
        <v>1350.79</v>
      </c>
    </row>
    <row r="268" spans="1:10" x14ac:dyDescent="0.25">
      <c r="A268" t="s">
        <v>304</v>
      </c>
      <c r="B268" s="16">
        <v>45689</v>
      </c>
      <c r="C268" t="s">
        <v>11</v>
      </c>
      <c r="D268" t="s">
        <v>35</v>
      </c>
      <c r="E268" t="s">
        <v>27</v>
      </c>
      <c r="F268" t="s">
        <v>19</v>
      </c>
      <c r="G268" t="s">
        <v>20</v>
      </c>
      <c r="H268" s="2">
        <v>183.34</v>
      </c>
      <c r="I268">
        <v>15</v>
      </c>
      <c r="J268" s="2">
        <v>2750.1</v>
      </c>
    </row>
    <row r="269" spans="1:10" x14ac:dyDescent="0.25">
      <c r="A269" t="s">
        <v>305</v>
      </c>
      <c r="B269" s="16">
        <v>45988</v>
      </c>
      <c r="C269" t="s">
        <v>11</v>
      </c>
      <c r="D269" t="s">
        <v>26</v>
      </c>
      <c r="E269" t="s">
        <v>27</v>
      </c>
      <c r="F269" t="s">
        <v>61</v>
      </c>
      <c r="G269" t="s">
        <v>36</v>
      </c>
      <c r="H269" s="2">
        <v>184.55</v>
      </c>
      <c r="I269">
        <v>6</v>
      </c>
      <c r="J269" s="2">
        <v>1107.3</v>
      </c>
    </row>
    <row r="270" spans="1:10" x14ac:dyDescent="0.25">
      <c r="A270" t="s">
        <v>306</v>
      </c>
      <c r="B270" s="16">
        <v>45926</v>
      </c>
      <c r="C270" t="s">
        <v>25</v>
      </c>
      <c r="D270" t="s">
        <v>26</v>
      </c>
      <c r="E270" t="s">
        <v>13</v>
      </c>
      <c r="F270" t="s">
        <v>32</v>
      </c>
      <c r="G270" t="s">
        <v>36</v>
      </c>
      <c r="H270" s="2">
        <v>109.09</v>
      </c>
      <c r="I270">
        <v>17</v>
      </c>
      <c r="J270" s="2">
        <v>1854.53</v>
      </c>
    </row>
    <row r="271" spans="1:10" x14ac:dyDescent="0.25">
      <c r="A271" t="s">
        <v>307</v>
      </c>
      <c r="B271" s="16">
        <v>45856</v>
      </c>
      <c r="C271" t="s">
        <v>34</v>
      </c>
      <c r="D271" t="s">
        <v>12</v>
      </c>
      <c r="E271" t="s">
        <v>18</v>
      </c>
      <c r="F271" t="s">
        <v>19</v>
      </c>
      <c r="G271" t="s">
        <v>20</v>
      </c>
      <c r="H271" s="2">
        <v>94.59</v>
      </c>
      <c r="I271">
        <v>14</v>
      </c>
      <c r="J271" s="2">
        <v>1324.26</v>
      </c>
    </row>
    <row r="272" spans="1:10" x14ac:dyDescent="0.25">
      <c r="A272" t="s">
        <v>308</v>
      </c>
      <c r="B272" s="16">
        <v>45989</v>
      </c>
      <c r="C272" t="s">
        <v>11</v>
      </c>
      <c r="D272" t="s">
        <v>35</v>
      </c>
      <c r="E272" t="s">
        <v>45</v>
      </c>
      <c r="F272" t="s">
        <v>42</v>
      </c>
      <c r="G272" t="s">
        <v>20</v>
      </c>
      <c r="H272" s="2">
        <v>208.06</v>
      </c>
      <c r="I272">
        <v>11</v>
      </c>
      <c r="J272" s="2">
        <v>2288.66</v>
      </c>
    </row>
    <row r="273" spans="1:10" x14ac:dyDescent="0.25">
      <c r="A273" t="s">
        <v>309</v>
      </c>
      <c r="B273" s="16">
        <v>45855</v>
      </c>
      <c r="C273" t="s">
        <v>34</v>
      </c>
      <c r="D273" t="s">
        <v>12</v>
      </c>
      <c r="E273" t="s">
        <v>27</v>
      </c>
      <c r="F273" t="s">
        <v>42</v>
      </c>
      <c r="G273" t="s">
        <v>15</v>
      </c>
      <c r="H273" s="2">
        <v>208.22</v>
      </c>
      <c r="I273">
        <v>10</v>
      </c>
      <c r="J273" s="2">
        <v>2082.1999999999998</v>
      </c>
    </row>
    <row r="274" spans="1:10" x14ac:dyDescent="0.25">
      <c r="A274" t="s">
        <v>310</v>
      </c>
      <c r="B274" s="16">
        <v>45828</v>
      </c>
      <c r="C274" t="s">
        <v>25</v>
      </c>
      <c r="D274" t="s">
        <v>12</v>
      </c>
      <c r="E274" t="s">
        <v>23</v>
      </c>
      <c r="F274" t="s">
        <v>32</v>
      </c>
      <c r="G274" t="s">
        <v>36</v>
      </c>
      <c r="H274" s="2">
        <v>220.76</v>
      </c>
      <c r="I274">
        <v>3</v>
      </c>
      <c r="J274" s="2">
        <v>662.28</v>
      </c>
    </row>
    <row r="275" spans="1:10" x14ac:dyDescent="0.25">
      <c r="A275" t="s">
        <v>311</v>
      </c>
      <c r="B275" s="16">
        <v>45993</v>
      </c>
      <c r="C275" t="s">
        <v>30</v>
      </c>
      <c r="D275" t="s">
        <v>55</v>
      </c>
      <c r="E275" t="s">
        <v>27</v>
      </c>
      <c r="F275" t="s">
        <v>19</v>
      </c>
      <c r="G275" t="s">
        <v>36</v>
      </c>
      <c r="H275" s="2">
        <v>230.91</v>
      </c>
      <c r="I275">
        <v>13</v>
      </c>
      <c r="J275" s="2">
        <v>3001.83</v>
      </c>
    </row>
    <row r="276" spans="1:10" x14ac:dyDescent="0.25">
      <c r="A276" t="s">
        <v>312</v>
      </c>
      <c r="B276" s="16">
        <v>45944</v>
      </c>
      <c r="C276" t="s">
        <v>17</v>
      </c>
      <c r="D276" t="s">
        <v>35</v>
      </c>
      <c r="E276" t="s">
        <v>23</v>
      </c>
      <c r="F276" t="s">
        <v>28</v>
      </c>
      <c r="G276" t="s">
        <v>20</v>
      </c>
      <c r="H276" s="2">
        <v>142.5</v>
      </c>
      <c r="I276">
        <v>13</v>
      </c>
      <c r="J276" s="2">
        <v>1852.5</v>
      </c>
    </row>
    <row r="277" spans="1:10" x14ac:dyDescent="0.25">
      <c r="A277" t="s">
        <v>313</v>
      </c>
      <c r="B277" s="16">
        <v>46008</v>
      </c>
      <c r="C277" t="s">
        <v>11</v>
      </c>
      <c r="D277" t="s">
        <v>12</v>
      </c>
      <c r="E277" t="s">
        <v>27</v>
      </c>
      <c r="F277" t="s">
        <v>61</v>
      </c>
      <c r="G277" t="s">
        <v>20</v>
      </c>
      <c r="H277" s="2">
        <v>140.33000000000001</v>
      </c>
      <c r="I277">
        <v>17</v>
      </c>
      <c r="J277" s="2">
        <v>2385.61</v>
      </c>
    </row>
    <row r="278" spans="1:10" x14ac:dyDescent="0.25">
      <c r="A278" t="s">
        <v>314</v>
      </c>
      <c r="B278" s="16">
        <v>45843</v>
      </c>
      <c r="C278" t="s">
        <v>34</v>
      </c>
      <c r="D278" t="s">
        <v>35</v>
      </c>
      <c r="E278" t="s">
        <v>23</v>
      </c>
      <c r="F278" t="s">
        <v>14</v>
      </c>
      <c r="G278" t="s">
        <v>36</v>
      </c>
      <c r="H278" s="2">
        <v>205.62</v>
      </c>
      <c r="I278">
        <v>1</v>
      </c>
      <c r="J278" s="2">
        <v>205.62</v>
      </c>
    </row>
    <row r="279" spans="1:10" x14ac:dyDescent="0.25">
      <c r="A279" t="s">
        <v>315</v>
      </c>
      <c r="B279" s="16">
        <v>45906</v>
      </c>
      <c r="C279" t="s">
        <v>30</v>
      </c>
      <c r="D279" t="s">
        <v>26</v>
      </c>
      <c r="E279" t="s">
        <v>23</v>
      </c>
      <c r="F279" t="s">
        <v>19</v>
      </c>
      <c r="G279" t="s">
        <v>36</v>
      </c>
      <c r="H279" s="2">
        <v>172.99</v>
      </c>
      <c r="I279">
        <v>7</v>
      </c>
      <c r="J279" s="2">
        <v>1210.93</v>
      </c>
    </row>
    <row r="280" spans="1:10" x14ac:dyDescent="0.25">
      <c r="A280" t="s">
        <v>316</v>
      </c>
      <c r="B280" s="16">
        <v>45709</v>
      </c>
      <c r="C280" t="s">
        <v>25</v>
      </c>
      <c r="D280" t="s">
        <v>12</v>
      </c>
      <c r="E280" t="s">
        <v>18</v>
      </c>
      <c r="F280" t="s">
        <v>19</v>
      </c>
      <c r="G280" t="s">
        <v>20</v>
      </c>
      <c r="H280" s="2">
        <v>184.43</v>
      </c>
      <c r="I280">
        <v>17</v>
      </c>
      <c r="J280" s="2">
        <v>3135.31</v>
      </c>
    </row>
    <row r="281" spans="1:10" x14ac:dyDescent="0.25">
      <c r="A281" t="s">
        <v>317</v>
      </c>
      <c r="B281" s="16">
        <v>45830</v>
      </c>
      <c r="C281" t="s">
        <v>30</v>
      </c>
      <c r="D281" t="s">
        <v>55</v>
      </c>
      <c r="E281" t="s">
        <v>41</v>
      </c>
      <c r="F281" t="s">
        <v>14</v>
      </c>
      <c r="G281" t="s">
        <v>15</v>
      </c>
      <c r="H281" s="2">
        <v>205.07</v>
      </c>
      <c r="I281">
        <v>20</v>
      </c>
      <c r="J281" s="2">
        <v>4101.3999999999996</v>
      </c>
    </row>
    <row r="282" spans="1:10" x14ac:dyDescent="0.25">
      <c r="A282" t="s">
        <v>318</v>
      </c>
      <c r="B282" s="16">
        <v>45750</v>
      </c>
      <c r="C282" t="s">
        <v>30</v>
      </c>
      <c r="D282" t="s">
        <v>12</v>
      </c>
      <c r="E282" t="s">
        <v>41</v>
      </c>
      <c r="F282" t="s">
        <v>19</v>
      </c>
      <c r="G282" t="s">
        <v>36</v>
      </c>
      <c r="H282" s="2">
        <v>225.8</v>
      </c>
      <c r="I282">
        <v>20</v>
      </c>
      <c r="J282" s="2">
        <v>4516</v>
      </c>
    </row>
    <row r="283" spans="1:10" x14ac:dyDescent="0.25">
      <c r="A283" t="s">
        <v>319</v>
      </c>
      <c r="B283" s="16">
        <v>45844</v>
      </c>
      <c r="C283" t="s">
        <v>38</v>
      </c>
      <c r="D283" t="s">
        <v>55</v>
      </c>
      <c r="E283" t="s">
        <v>13</v>
      </c>
      <c r="F283" t="s">
        <v>39</v>
      </c>
      <c r="G283" t="s">
        <v>20</v>
      </c>
      <c r="H283" s="2">
        <v>104.36</v>
      </c>
      <c r="I283">
        <v>8</v>
      </c>
      <c r="J283" s="2">
        <v>834.88</v>
      </c>
    </row>
    <row r="284" spans="1:10" x14ac:dyDescent="0.25">
      <c r="A284" t="s">
        <v>320</v>
      </c>
      <c r="B284" s="16">
        <v>45887</v>
      </c>
      <c r="C284" t="s">
        <v>25</v>
      </c>
      <c r="D284" t="s">
        <v>26</v>
      </c>
      <c r="E284" t="s">
        <v>13</v>
      </c>
      <c r="F284" t="s">
        <v>39</v>
      </c>
      <c r="G284" t="s">
        <v>36</v>
      </c>
      <c r="H284" s="2">
        <v>112.63</v>
      </c>
      <c r="I284">
        <v>8</v>
      </c>
      <c r="J284" s="2">
        <v>901.04</v>
      </c>
    </row>
    <row r="285" spans="1:10" x14ac:dyDescent="0.25">
      <c r="A285" t="s">
        <v>321</v>
      </c>
      <c r="B285" s="16">
        <v>45757</v>
      </c>
      <c r="C285" t="s">
        <v>17</v>
      </c>
      <c r="D285" t="s">
        <v>55</v>
      </c>
      <c r="E285" t="s">
        <v>41</v>
      </c>
      <c r="F285" t="s">
        <v>61</v>
      </c>
      <c r="G285" t="s">
        <v>36</v>
      </c>
      <c r="H285" s="2">
        <v>50.68</v>
      </c>
      <c r="I285">
        <v>12</v>
      </c>
      <c r="J285" s="2">
        <v>608.16</v>
      </c>
    </row>
    <row r="286" spans="1:10" x14ac:dyDescent="0.25">
      <c r="A286" t="s">
        <v>322</v>
      </c>
      <c r="B286" s="16">
        <v>45853</v>
      </c>
      <c r="C286" t="s">
        <v>25</v>
      </c>
      <c r="D286" t="s">
        <v>31</v>
      </c>
      <c r="E286" t="s">
        <v>23</v>
      </c>
      <c r="F286" t="s">
        <v>39</v>
      </c>
      <c r="G286" t="s">
        <v>15</v>
      </c>
      <c r="H286" s="2">
        <v>157.22</v>
      </c>
      <c r="I286">
        <v>17</v>
      </c>
      <c r="J286" s="2">
        <v>2672.74</v>
      </c>
    </row>
    <row r="287" spans="1:10" x14ac:dyDescent="0.25">
      <c r="A287" t="s">
        <v>323</v>
      </c>
      <c r="B287" s="16">
        <v>45967</v>
      </c>
      <c r="C287" t="s">
        <v>34</v>
      </c>
      <c r="D287" t="s">
        <v>22</v>
      </c>
      <c r="E287" t="s">
        <v>27</v>
      </c>
      <c r="F287" t="s">
        <v>61</v>
      </c>
      <c r="G287" t="s">
        <v>36</v>
      </c>
      <c r="H287" s="2">
        <v>37.909999999999997</v>
      </c>
      <c r="I287">
        <v>5</v>
      </c>
      <c r="J287" s="2">
        <v>189.55</v>
      </c>
    </row>
    <row r="288" spans="1:10" x14ac:dyDescent="0.25">
      <c r="A288" t="s">
        <v>324</v>
      </c>
      <c r="B288" s="16">
        <v>45941</v>
      </c>
      <c r="C288" t="s">
        <v>17</v>
      </c>
      <c r="D288" t="s">
        <v>55</v>
      </c>
      <c r="E288" t="s">
        <v>45</v>
      </c>
      <c r="F288" t="s">
        <v>32</v>
      </c>
      <c r="G288" t="s">
        <v>15</v>
      </c>
      <c r="H288" s="2">
        <v>132.43</v>
      </c>
      <c r="I288">
        <v>4</v>
      </c>
      <c r="J288" s="2">
        <v>529.72</v>
      </c>
    </row>
    <row r="289" spans="1:10" x14ac:dyDescent="0.25">
      <c r="A289" t="s">
        <v>325</v>
      </c>
      <c r="B289" s="16">
        <v>45740</v>
      </c>
      <c r="C289" t="s">
        <v>38</v>
      </c>
      <c r="D289" t="s">
        <v>55</v>
      </c>
      <c r="E289" t="s">
        <v>23</v>
      </c>
      <c r="F289" t="s">
        <v>39</v>
      </c>
      <c r="G289" t="s">
        <v>36</v>
      </c>
      <c r="H289" s="2">
        <v>149.38</v>
      </c>
      <c r="I289">
        <v>9</v>
      </c>
      <c r="J289" s="2">
        <v>1344.42</v>
      </c>
    </row>
    <row r="290" spans="1:10" x14ac:dyDescent="0.25">
      <c r="A290" t="s">
        <v>326</v>
      </c>
      <c r="B290" s="16">
        <v>45704</v>
      </c>
      <c r="C290" t="s">
        <v>38</v>
      </c>
      <c r="D290" t="s">
        <v>35</v>
      </c>
      <c r="E290" t="s">
        <v>45</v>
      </c>
      <c r="F290" t="s">
        <v>61</v>
      </c>
      <c r="G290" t="s">
        <v>15</v>
      </c>
      <c r="H290" s="2">
        <v>93.04</v>
      </c>
      <c r="I290">
        <v>8</v>
      </c>
      <c r="J290" s="2">
        <v>744.32</v>
      </c>
    </row>
    <row r="291" spans="1:10" x14ac:dyDescent="0.25">
      <c r="A291" t="s">
        <v>327</v>
      </c>
      <c r="B291" s="16">
        <v>45860</v>
      </c>
      <c r="C291" t="s">
        <v>34</v>
      </c>
      <c r="D291" t="s">
        <v>26</v>
      </c>
      <c r="E291" t="s">
        <v>41</v>
      </c>
      <c r="F291" t="s">
        <v>19</v>
      </c>
      <c r="G291" t="s">
        <v>36</v>
      </c>
      <c r="H291" s="2">
        <v>159.97999999999999</v>
      </c>
      <c r="I291">
        <v>17</v>
      </c>
      <c r="J291" s="2">
        <v>2719.66</v>
      </c>
    </row>
    <row r="292" spans="1:10" x14ac:dyDescent="0.25">
      <c r="A292" t="s">
        <v>328</v>
      </c>
      <c r="B292" s="16">
        <v>45772</v>
      </c>
      <c r="C292" t="s">
        <v>34</v>
      </c>
      <c r="D292" t="s">
        <v>22</v>
      </c>
      <c r="E292" t="s">
        <v>27</v>
      </c>
      <c r="F292" t="s">
        <v>28</v>
      </c>
      <c r="G292" t="s">
        <v>36</v>
      </c>
      <c r="H292" s="2">
        <v>36.71</v>
      </c>
      <c r="I292">
        <v>1</v>
      </c>
      <c r="J292" s="2">
        <v>36.71</v>
      </c>
    </row>
    <row r="293" spans="1:10" x14ac:dyDescent="0.25">
      <c r="A293" t="s">
        <v>329</v>
      </c>
      <c r="B293" s="16">
        <v>45732</v>
      </c>
      <c r="C293" t="s">
        <v>11</v>
      </c>
      <c r="D293" t="s">
        <v>35</v>
      </c>
      <c r="E293" t="s">
        <v>41</v>
      </c>
      <c r="F293" t="s">
        <v>28</v>
      </c>
      <c r="G293" t="s">
        <v>15</v>
      </c>
      <c r="H293" s="2">
        <v>38.22</v>
      </c>
      <c r="I293">
        <v>5</v>
      </c>
      <c r="J293" s="2">
        <v>191.1</v>
      </c>
    </row>
    <row r="294" spans="1:10" x14ac:dyDescent="0.25">
      <c r="A294" t="s">
        <v>330</v>
      </c>
      <c r="B294" s="16">
        <v>46019</v>
      </c>
      <c r="C294" t="s">
        <v>38</v>
      </c>
      <c r="D294" t="s">
        <v>55</v>
      </c>
      <c r="E294" t="s">
        <v>45</v>
      </c>
      <c r="F294" t="s">
        <v>19</v>
      </c>
      <c r="G294" t="s">
        <v>15</v>
      </c>
      <c r="H294" s="2">
        <v>210.97</v>
      </c>
      <c r="I294">
        <v>16</v>
      </c>
      <c r="J294" s="2">
        <v>3375.52</v>
      </c>
    </row>
    <row r="295" spans="1:10" x14ac:dyDescent="0.25">
      <c r="A295" t="s">
        <v>331</v>
      </c>
      <c r="B295" s="16">
        <v>45789</v>
      </c>
      <c r="C295" t="s">
        <v>30</v>
      </c>
      <c r="D295" t="s">
        <v>55</v>
      </c>
      <c r="E295" t="s">
        <v>27</v>
      </c>
      <c r="F295" t="s">
        <v>42</v>
      </c>
      <c r="G295" t="s">
        <v>20</v>
      </c>
      <c r="H295" s="2">
        <v>109.24</v>
      </c>
      <c r="I295">
        <v>7</v>
      </c>
      <c r="J295" s="2">
        <v>764.68</v>
      </c>
    </row>
    <row r="296" spans="1:10" x14ac:dyDescent="0.25">
      <c r="A296" t="s">
        <v>332</v>
      </c>
      <c r="B296" s="16">
        <v>45874</v>
      </c>
      <c r="C296" t="s">
        <v>34</v>
      </c>
      <c r="D296" t="s">
        <v>26</v>
      </c>
      <c r="E296" t="s">
        <v>13</v>
      </c>
      <c r="F296" t="s">
        <v>19</v>
      </c>
      <c r="G296" t="s">
        <v>15</v>
      </c>
      <c r="H296" s="2">
        <v>57.95</v>
      </c>
      <c r="I296">
        <v>4</v>
      </c>
      <c r="J296" s="2">
        <v>231.8</v>
      </c>
    </row>
    <row r="297" spans="1:10" x14ac:dyDescent="0.25">
      <c r="A297" t="s">
        <v>333</v>
      </c>
      <c r="B297" s="16">
        <v>45780</v>
      </c>
      <c r="C297" t="s">
        <v>17</v>
      </c>
      <c r="D297" t="s">
        <v>55</v>
      </c>
      <c r="E297" t="s">
        <v>41</v>
      </c>
      <c r="F297" t="s">
        <v>19</v>
      </c>
      <c r="G297" t="s">
        <v>15</v>
      </c>
      <c r="H297" s="2">
        <v>144.88999999999999</v>
      </c>
      <c r="I297">
        <v>14</v>
      </c>
      <c r="J297" s="2">
        <v>2028.46</v>
      </c>
    </row>
    <row r="298" spans="1:10" x14ac:dyDescent="0.25">
      <c r="A298" t="s">
        <v>334</v>
      </c>
      <c r="B298" s="16">
        <v>45913</v>
      </c>
      <c r="C298" t="s">
        <v>25</v>
      </c>
      <c r="D298" t="s">
        <v>22</v>
      </c>
      <c r="E298" t="s">
        <v>27</v>
      </c>
      <c r="F298" t="s">
        <v>42</v>
      </c>
      <c r="G298" t="s">
        <v>20</v>
      </c>
      <c r="H298" s="2">
        <v>199.4</v>
      </c>
      <c r="I298">
        <v>20</v>
      </c>
      <c r="J298" s="2">
        <v>3988</v>
      </c>
    </row>
    <row r="299" spans="1:10" x14ac:dyDescent="0.25">
      <c r="A299" t="s">
        <v>335</v>
      </c>
      <c r="B299" s="16">
        <v>45781</v>
      </c>
      <c r="C299" t="s">
        <v>34</v>
      </c>
      <c r="D299" t="s">
        <v>31</v>
      </c>
      <c r="E299" t="s">
        <v>45</v>
      </c>
      <c r="F299" t="s">
        <v>42</v>
      </c>
      <c r="G299" t="s">
        <v>36</v>
      </c>
      <c r="H299" s="2">
        <v>77.48</v>
      </c>
      <c r="I299">
        <v>5</v>
      </c>
      <c r="J299" s="2">
        <v>387.4</v>
      </c>
    </row>
    <row r="300" spans="1:10" x14ac:dyDescent="0.25">
      <c r="A300" t="s">
        <v>336</v>
      </c>
      <c r="B300" s="16">
        <v>45781</v>
      </c>
      <c r="C300" t="s">
        <v>38</v>
      </c>
      <c r="D300" t="s">
        <v>26</v>
      </c>
      <c r="E300" t="s">
        <v>27</v>
      </c>
      <c r="F300" t="s">
        <v>28</v>
      </c>
      <c r="G300" t="s">
        <v>15</v>
      </c>
      <c r="H300" s="2">
        <v>167.04</v>
      </c>
      <c r="I300">
        <v>19</v>
      </c>
      <c r="J300" s="2">
        <v>3173.76</v>
      </c>
    </row>
    <row r="301" spans="1:10" x14ac:dyDescent="0.25">
      <c r="A301" t="s">
        <v>337</v>
      </c>
      <c r="B301" s="16">
        <v>45926</v>
      </c>
      <c r="C301" t="s">
        <v>11</v>
      </c>
      <c r="D301" t="s">
        <v>55</v>
      </c>
      <c r="E301" t="s">
        <v>18</v>
      </c>
      <c r="F301" t="s">
        <v>42</v>
      </c>
      <c r="G301" t="s">
        <v>20</v>
      </c>
      <c r="H301" s="2">
        <v>48.78</v>
      </c>
      <c r="I301">
        <v>12</v>
      </c>
      <c r="J301" s="2">
        <v>585.36</v>
      </c>
    </row>
    <row r="302" spans="1:10" x14ac:dyDescent="0.25">
      <c r="A302" t="s">
        <v>338</v>
      </c>
      <c r="B302" s="16">
        <v>45941</v>
      </c>
      <c r="C302" t="s">
        <v>38</v>
      </c>
      <c r="D302" t="s">
        <v>31</v>
      </c>
      <c r="E302" t="s">
        <v>45</v>
      </c>
      <c r="F302" t="s">
        <v>28</v>
      </c>
      <c r="G302" t="s">
        <v>36</v>
      </c>
      <c r="H302" s="2">
        <v>41.37</v>
      </c>
      <c r="I302">
        <v>1</v>
      </c>
      <c r="J302" s="2">
        <v>41.37</v>
      </c>
    </row>
    <row r="303" spans="1:10" x14ac:dyDescent="0.25">
      <c r="A303" t="s">
        <v>339</v>
      </c>
      <c r="B303" s="16">
        <v>45849</v>
      </c>
      <c r="C303" t="s">
        <v>17</v>
      </c>
      <c r="D303" t="s">
        <v>22</v>
      </c>
      <c r="E303" t="s">
        <v>13</v>
      </c>
      <c r="F303" t="s">
        <v>39</v>
      </c>
      <c r="G303" t="s">
        <v>15</v>
      </c>
      <c r="H303" s="2">
        <v>146.9</v>
      </c>
      <c r="I303">
        <v>9</v>
      </c>
      <c r="J303" s="2">
        <v>1322.1</v>
      </c>
    </row>
    <row r="304" spans="1:10" x14ac:dyDescent="0.25">
      <c r="A304" t="s">
        <v>340</v>
      </c>
      <c r="B304" s="16">
        <v>45834</v>
      </c>
      <c r="C304" t="s">
        <v>17</v>
      </c>
      <c r="D304" t="s">
        <v>12</v>
      </c>
      <c r="E304" t="s">
        <v>27</v>
      </c>
      <c r="F304" t="s">
        <v>19</v>
      </c>
      <c r="G304" t="s">
        <v>20</v>
      </c>
      <c r="H304" s="2">
        <v>148.94</v>
      </c>
      <c r="I304">
        <v>8</v>
      </c>
      <c r="J304" s="2">
        <v>1191.52</v>
      </c>
    </row>
    <row r="305" spans="1:10" x14ac:dyDescent="0.25">
      <c r="A305" t="s">
        <v>341</v>
      </c>
      <c r="B305" s="16">
        <v>45828</v>
      </c>
      <c r="C305" t="s">
        <v>11</v>
      </c>
      <c r="D305" t="s">
        <v>35</v>
      </c>
      <c r="E305" t="s">
        <v>18</v>
      </c>
      <c r="F305" t="s">
        <v>32</v>
      </c>
      <c r="G305" t="s">
        <v>20</v>
      </c>
      <c r="H305" s="2">
        <v>170.23</v>
      </c>
      <c r="I305">
        <v>5</v>
      </c>
      <c r="J305" s="2">
        <v>851.15</v>
      </c>
    </row>
    <row r="306" spans="1:10" x14ac:dyDescent="0.25">
      <c r="A306" t="s">
        <v>342</v>
      </c>
      <c r="B306" s="16">
        <v>45747</v>
      </c>
      <c r="C306" t="s">
        <v>17</v>
      </c>
      <c r="D306" t="s">
        <v>31</v>
      </c>
      <c r="E306" t="s">
        <v>27</v>
      </c>
      <c r="F306" t="s">
        <v>14</v>
      </c>
      <c r="G306" t="s">
        <v>15</v>
      </c>
      <c r="H306" s="2">
        <v>189.74</v>
      </c>
      <c r="I306">
        <v>15</v>
      </c>
      <c r="J306" s="2">
        <v>2846.1</v>
      </c>
    </row>
    <row r="307" spans="1:10" x14ac:dyDescent="0.25">
      <c r="A307" t="s">
        <v>343</v>
      </c>
      <c r="B307" s="16">
        <v>45690</v>
      </c>
      <c r="C307" t="s">
        <v>11</v>
      </c>
      <c r="D307" t="s">
        <v>35</v>
      </c>
      <c r="E307" t="s">
        <v>23</v>
      </c>
      <c r="F307" t="s">
        <v>19</v>
      </c>
      <c r="G307" t="s">
        <v>15</v>
      </c>
      <c r="H307" s="2">
        <v>244.69</v>
      </c>
      <c r="I307">
        <v>15</v>
      </c>
      <c r="J307" s="2">
        <v>3670.35</v>
      </c>
    </row>
    <row r="308" spans="1:10" x14ac:dyDescent="0.25">
      <c r="A308" t="s">
        <v>344</v>
      </c>
      <c r="B308" s="16">
        <v>45679</v>
      </c>
      <c r="C308" t="s">
        <v>34</v>
      </c>
      <c r="D308" t="s">
        <v>55</v>
      </c>
      <c r="E308" t="s">
        <v>41</v>
      </c>
      <c r="F308" t="s">
        <v>39</v>
      </c>
      <c r="G308" t="s">
        <v>20</v>
      </c>
      <c r="H308" s="2">
        <v>143.59</v>
      </c>
      <c r="I308">
        <v>11</v>
      </c>
      <c r="J308" s="2">
        <v>1579.49</v>
      </c>
    </row>
    <row r="309" spans="1:10" x14ac:dyDescent="0.25">
      <c r="A309" t="s">
        <v>345</v>
      </c>
      <c r="B309" s="16">
        <v>45900</v>
      </c>
      <c r="C309" t="s">
        <v>11</v>
      </c>
      <c r="D309" t="s">
        <v>12</v>
      </c>
      <c r="E309" t="s">
        <v>23</v>
      </c>
      <c r="F309" t="s">
        <v>32</v>
      </c>
      <c r="G309" t="s">
        <v>36</v>
      </c>
      <c r="H309" s="2">
        <v>101.05</v>
      </c>
      <c r="I309">
        <v>9</v>
      </c>
      <c r="J309" s="2">
        <v>909.45</v>
      </c>
    </row>
    <row r="310" spans="1:10" x14ac:dyDescent="0.25">
      <c r="A310" t="s">
        <v>346</v>
      </c>
      <c r="B310" s="16">
        <v>45682</v>
      </c>
      <c r="C310" t="s">
        <v>34</v>
      </c>
      <c r="D310" t="s">
        <v>22</v>
      </c>
      <c r="E310" t="s">
        <v>13</v>
      </c>
      <c r="F310" t="s">
        <v>61</v>
      </c>
      <c r="G310" t="s">
        <v>36</v>
      </c>
      <c r="H310" s="2">
        <v>204.94</v>
      </c>
      <c r="I310">
        <v>11</v>
      </c>
      <c r="J310" s="2">
        <v>2254.34</v>
      </c>
    </row>
    <row r="311" spans="1:10" x14ac:dyDescent="0.25">
      <c r="A311" t="s">
        <v>347</v>
      </c>
      <c r="B311" s="16">
        <v>45883</v>
      </c>
      <c r="C311" t="s">
        <v>34</v>
      </c>
      <c r="D311" t="s">
        <v>26</v>
      </c>
      <c r="E311" t="s">
        <v>41</v>
      </c>
      <c r="F311" t="s">
        <v>28</v>
      </c>
      <c r="G311" t="s">
        <v>36</v>
      </c>
      <c r="H311" s="2">
        <v>89.58</v>
      </c>
      <c r="I311">
        <v>13</v>
      </c>
      <c r="J311" s="2">
        <v>1164.54</v>
      </c>
    </row>
    <row r="312" spans="1:10" x14ac:dyDescent="0.25">
      <c r="A312" t="s">
        <v>348</v>
      </c>
      <c r="B312" s="16">
        <v>45846</v>
      </c>
      <c r="C312" t="s">
        <v>34</v>
      </c>
      <c r="D312" t="s">
        <v>22</v>
      </c>
      <c r="E312" t="s">
        <v>27</v>
      </c>
      <c r="F312" t="s">
        <v>61</v>
      </c>
      <c r="G312" t="s">
        <v>15</v>
      </c>
      <c r="H312" s="2">
        <v>126.57</v>
      </c>
      <c r="I312">
        <v>17</v>
      </c>
      <c r="J312" s="2">
        <v>2151.69</v>
      </c>
    </row>
    <row r="313" spans="1:10" x14ac:dyDescent="0.25">
      <c r="A313" t="s">
        <v>349</v>
      </c>
      <c r="B313" s="16">
        <v>45878</v>
      </c>
      <c r="C313" t="s">
        <v>30</v>
      </c>
      <c r="D313" t="s">
        <v>55</v>
      </c>
      <c r="E313" t="s">
        <v>13</v>
      </c>
      <c r="F313" t="s">
        <v>32</v>
      </c>
      <c r="G313" t="s">
        <v>15</v>
      </c>
      <c r="H313" s="2">
        <v>47.26</v>
      </c>
      <c r="I313">
        <v>20</v>
      </c>
      <c r="J313" s="2">
        <v>945.2</v>
      </c>
    </row>
    <row r="314" spans="1:10" x14ac:dyDescent="0.25">
      <c r="A314" t="s">
        <v>350</v>
      </c>
      <c r="B314" s="16">
        <v>45698</v>
      </c>
      <c r="C314" t="s">
        <v>17</v>
      </c>
      <c r="D314" t="s">
        <v>35</v>
      </c>
      <c r="E314" t="s">
        <v>13</v>
      </c>
      <c r="F314" t="s">
        <v>61</v>
      </c>
      <c r="G314" t="s">
        <v>20</v>
      </c>
      <c r="H314" s="2">
        <v>35.58</v>
      </c>
      <c r="I314">
        <v>11</v>
      </c>
      <c r="J314" s="2">
        <v>391.38</v>
      </c>
    </row>
    <row r="315" spans="1:10" x14ac:dyDescent="0.25">
      <c r="A315" t="s">
        <v>351</v>
      </c>
      <c r="B315" s="16">
        <v>45876</v>
      </c>
      <c r="C315" t="s">
        <v>17</v>
      </c>
      <c r="D315" t="s">
        <v>31</v>
      </c>
      <c r="E315" t="s">
        <v>13</v>
      </c>
      <c r="F315" t="s">
        <v>61</v>
      </c>
      <c r="G315" t="s">
        <v>15</v>
      </c>
      <c r="H315" s="2">
        <v>241.78</v>
      </c>
      <c r="I315">
        <v>6</v>
      </c>
      <c r="J315" s="2">
        <v>1450.68</v>
      </c>
    </row>
    <row r="316" spans="1:10" x14ac:dyDescent="0.25">
      <c r="A316" t="s">
        <v>352</v>
      </c>
      <c r="B316" s="16">
        <v>45838</v>
      </c>
      <c r="C316" t="s">
        <v>38</v>
      </c>
      <c r="D316" t="s">
        <v>35</v>
      </c>
      <c r="E316" t="s">
        <v>27</v>
      </c>
      <c r="F316" t="s">
        <v>39</v>
      </c>
      <c r="G316" t="s">
        <v>15</v>
      </c>
      <c r="H316" s="2">
        <v>213.92</v>
      </c>
      <c r="I316">
        <v>20</v>
      </c>
      <c r="J316" s="2">
        <v>4278.3999999999996</v>
      </c>
    </row>
    <row r="317" spans="1:10" x14ac:dyDescent="0.25">
      <c r="A317" t="s">
        <v>353</v>
      </c>
      <c r="B317" s="16">
        <v>45696</v>
      </c>
      <c r="C317" t="s">
        <v>34</v>
      </c>
      <c r="D317" t="s">
        <v>55</v>
      </c>
      <c r="E317" t="s">
        <v>27</v>
      </c>
      <c r="F317" t="s">
        <v>28</v>
      </c>
      <c r="G317" t="s">
        <v>15</v>
      </c>
      <c r="H317" s="2">
        <v>183.11</v>
      </c>
      <c r="I317">
        <v>13</v>
      </c>
      <c r="J317" s="2">
        <v>2380.4299999999998</v>
      </c>
    </row>
    <row r="318" spans="1:10" x14ac:dyDescent="0.25">
      <c r="A318" t="s">
        <v>354</v>
      </c>
      <c r="B318" s="16">
        <v>45673</v>
      </c>
      <c r="C318" t="s">
        <v>25</v>
      </c>
      <c r="D318" t="s">
        <v>12</v>
      </c>
      <c r="E318" t="s">
        <v>41</v>
      </c>
      <c r="F318" t="s">
        <v>19</v>
      </c>
      <c r="G318" t="s">
        <v>15</v>
      </c>
      <c r="H318" s="2">
        <v>119.97</v>
      </c>
      <c r="I318">
        <v>5</v>
      </c>
      <c r="J318" s="2">
        <v>599.85</v>
      </c>
    </row>
    <row r="319" spans="1:10" x14ac:dyDescent="0.25">
      <c r="A319" t="s">
        <v>355</v>
      </c>
      <c r="B319" s="16">
        <v>45692</v>
      </c>
      <c r="C319" t="s">
        <v>17</v>
      </c>
      <c r="D319" t="s">
        <v>35</v>
      </c>
      <c r="E319" t="s">
        <v>13</v>
      </c>
      <c r="F319" t="s">
        <v>61</v>
      </c>
      <c r="G319" t="s">
        <v>20</v>
      </c>
      <c r="H319" s="2">
        <v>68.12</v>
      </c>
      <c r="I319">
        <v>8</v>
      </c>
      <c r="J319" s="2">
        <v>544.96</v>
      </c>
    </row>
    <row r="320" spans="1:10" x14ac:dyDescent="0.25">
      <c r="A320" t="s">
        <v>356</v>
      </c>
      <c r="B320" s="16">
        <v>45674</v>
      </c>
      <c r="C320" t="s">
        <v>30</v>
      </c>
      <c r="D320" t="s">
        <v>12</v>
      </c>
      <c r="E320" t="s">
        <v>41</v>
      </c>
      <c r="F320" t="s">
        <v>32</v>
      </c>
      <c r="G320" t="s">
        <v>36</v>
      </c>
      <c r="H320" s="2">
        <v>64.42</v>
      </c>
      <c r="I320">
        <v>20</v>
      </c>
      <c r="J320" s="2">
        <v>1288.4000000000001</v>
      </c>
    </row>
    <row r="321" spans="1:10" x14ac:dyDescent="0.25">
      <c r="A321" t="s">
        <v>357</v>
      </c>
      <c r="B321" s="16">
        <v>45885</v>
      </c>
      <c r="C321" t="s">
        <v>25</v>
      </c>
      <c r="D321" t="s">
        <v>26</v>
      </c>
      <c r="E321" t="s">
        <v>18</v>
      </c>
      <c r="F321" t="s">
        <v>32</v>
      </c>
      <c r="G321" t="s">
        <v>36</v>
      </c>
      <c r="H321" s="2">
        <v>85.05</v>
      </c>
      <c r="I321">
        <v>3</v>
      </c>
      <c r="J321" s="2">
        <v>255.15</v>
      </c>
    </row>
    <row r="322" spans="1:10" x14ac:dyDescent="0.25">
      <c r="A322" t="s">
        <v>358</v>
      </c>
      <c r="B322" s="16">
        <v>45818</v>
      </c>
      <c r="C322" t="s">
        <v>30</v>
      </c>
      <c r="D322" t="s">
        <v>22</v>
      </c>
      <c r="E322" t="s">
        <v>45</v>
      </c>
      <c r="F322" t="s">
        <v>28</v>
      </c>
      <c r="G322" t="s">
        <v>15</v>
      </c>
      <c r="H322" s="2">
        <v>150.83000000000001</v>
      </c>
      <c r="I322">
        <v>9</v>
      </c>
      <c r="J322" s="2">
        <v>1357.47</v>
      </c>
    </row>
    <row r="323" spans="1:10" x14ac:dyDescent="0.25">
      <c r="A323" t="s">
        <v>359</v>
      </c>
      <c r="B323" s="16">
        <v>45913</v>
      </c>
      <c r="C323" t="s">
        <v>38</v>
      </c>
      <c r="D323" t="s">
        <v>55</v>
      </c>
      <c r="E323" t="s">
        <v>45</v>
      </c>
      <c r="F323" t="s">
        <v>32</v>
      </c>
      <c r="G323" t="s">
        <v>36</v>
      </c>
      <c r="H323" s="2">
        <v>187.21</v>
      </c>
      <c r="I323">
        <v>17</v>
      </c>
      <c r="J323" s="2">
        <v>3182.57</v>
      </c>
    </row>
    <row r="324" spans="1:10" x14ac:dyDescent="0.25">
      <c r="A324" t="s">
        <v>360</v>
      </c>
      <c r="B324" s="16">
        <v>46018</v>
      </c>
      <c r="C324" t="s">
        <v>30</v>
      </c>
      <c r="D324" t="s">
        <v>55</v>
      </c>
      <c r="E324" t="s">
        <v>13</v>
      </c>
      <c r="F324" t="s">
        <v>28</v>
      </c>
      <c r="G324" t="s">
        <v>36</v>
      </c>
      <c r="H324" s="2">
        <v>175.24</v>
      </c>
      <c r="I324">
        <v>15</v>
      </c>
      <c r="J324" s="2">
        <v>2628.6</v>
      </c>
    </row>
    <row r="325" spans="1:10" x14ac:dyDescent="0.25">
      <c r="A325" t="s">
        <v>361</v>
      </c>
      <c r="B325" s="16">
        <v>45760</v>
      </c>
      <c r="C325" t="s">
        <v>30</v>
      </c>
      <c r="D325" t="s">
        <v>22</v>
      </c>
      <c r="E325" t="s">
        <v>41</v>
      </c>
      <c r="F325" t="s">
        <v>14</v>
      </c>
      <c r="G325" t="s">
        <v>20</v>
      </c>
      <c r="H325" s="2">
        <v>91.59</v>
      </c>
      <c r="I325">
        <v>4</v>
      </c>
      <c r="J325" s="2">
        <v>366.36</v>
      </c>
    </row>
    <row r="326" spans="1:10" x14ac:dyDescent="0.25">
      <c r="A326" t="s">
        <v>362</v>
      </c>
      <c r="B326" s="16">
        <v>45885</v>
      </c>
      <c r="C326" t="s">
        <v>17</v>
      </c>
      <c r="D326" t="s">
        <v>35</v>
      </c>
      <c r="E326" t="s">
        <v>27</v>
      </c>
      <c r="F326" t="s">
        <v>32</v>
      </c>
      <c r="G326" t="s">
        <v>20</v>
      </c>
      <c r="H326" s="2">
        <v>240.07</v>
      </c>
      <c r="I326">
        <v>3</v>
      </c>
      <c r="J326" s="2">
        <v>720.21</v>
      </c>
    </row>
    <row r="327" spans="1:10" x14ac:dyDescent="0.25">
      <c r="A327" t="s">
        <v>363</v>
      </c>
      <c r="B327" s="16">
        <v>45691</v>
      </c>
      <c r="C327" t="s">
        <v>25</v>
      </c>
      <c r="D327" t="s">
        <v>35</v>
      </c>
      <c r="E327" t="s">
        <v>13</v>
      </c>
      <c r="F327" t="s">
        <v>39</v>
      </c>
      <c r="G327" t="s">
        <v>15</v>
      </c>
      <c r="H327" s="2">
        <v>192.34</v>
      </c>
      <c r="I327">
        <v>18</v>
      </c>
      <c r="J327" s="2">
        <v>3462.12</v>
      </c>
    </row>
    <row r="328" spans="1:10" x14ac:dyDescent="0.25">
      <c r="A328" t="s">
        <v>364</v>
      </c>
      <c r="B328" s="16">
        <v>46022</v>
      </c>
      <c r="C328" t="s">
        <v>34</v>
      </c>
      <c r="D328" t="s">
        <v>55</v>
      </c>
      <c r="E328" t="s">
        <v>23</v>
      </c>
      <c r="F328" t="s">
        <v>19</v>
      </c>
      <c r="G328" t="s">
        <v>15</v>
      </c>
      <c r="H328" s="2">
        <v>151.96</v>
      </c>
      <c r="I328">
        <v>6</v>
      </c>
      <c r="J328" s="2">
        <v>911.76</v>
      </c>
    </row>
    <row r="329" spans="1:10" x14ac:dyDescent="0.25">
      <c r="A329" t="s">
        <v>365</v>
      </c>
      <c r="B329" s="16">
        <v>45729</v>
      </c>
      <c r="C329" t="s">
        <v>38</v>
      </c>
      <c r="D329" t="s">
        <v>22</v>
      </c>
      <c r="E329" t="s">
        <v>13</v>
      </c>
      <c r="F329" t="s">
        <v>42</v>
      </c>
      <c r="G329" t="s">
        <v>20</v>
      </c>
      <c r="H329" s="2">
        <v>164.58</v>
      </c>
      <c r="I329">
        <v>8</v>
      </c>
      <c r="J329" s="2">
        <v>1316.64</v>
      </c>
    </row>
    <row r="330" spans="1:10" x14ac:dyDescent="0.25">
      <c r="A330" t="s">
        <v>366</v>
      </c>
      <c r="B330" s="16">
        <v>45846</v>
      </c>
      <c r="C330" t="s">
        <v>25</v>
      </c>
      <c r="D330" t="s">
        <v>26</v>
      </c>
      <c r="E330" t="s">
        <v>18</v>
      </c>
      <c r="F330" t="s">
        <v>19</v>
      </c>
      <c r="G330" t="s">
        <v>15</v>
      </c>
      <c r="H330" s="2">
        <v>122.31</v>
      </c>
      <c r="I330">
        <v>15</v>
      </c>
      <c r="J330" s="2">
        <v>1834.65</v>
      </c>
    </row>
    <row r="331" spans="1:10" x14ac:dyDescent="0.25">
      <c r="A331" t="s">
        <v>367</v>
      </c>
      <c r="B331" s="16">
        <v>45816</v>
      </c>
      <c r="C331" t="s">
        <v>17</v>
      </c>
      <c r="D331" t="s">
        <v>12</v>
      </c>
      <c r="E331" t="s">
        <v>41</v>
      </c>
      <c r="F331" t="s">
        <v>42</v>
      </c>
      <c r="G331" t="s">
        <v>36</v>
      </c>
      <c r="H331" s="2">
        <v>84.5</v>
      </c>
      <c r="I331">
        <v>13</v>
      </c>
      <c r="J331" s="2">
        <v>1098.5</v>
      </c>
    </row>
    <row r="332" spans="1:10" x14ac:dyDescent="0.25">
      <c r="A332" t="s">
        <v>368</v>
      </c>
      <c r="B332" s="16">
        <v>45867</v>
      </c>
      <c r="C332" t="s">
        <v>11</v>
      </c>
      <c r="D332" t="s">
        <v>26</v>
      </c>
      <c r="E332" t="s">
        <v>13</v>
      </c>
      <c r="F332" t="s">
        <v>28</v>
      </c>
      <c r="G332" t="s">
        <v>15</v>
      </c>
      <c r="H332" s="2">
        <v>108.31</v>
      </c>
      <c r="I332">
        <v>19</v>
      </c>
      <c r="J332" s="2">
        <v>2057.89</v>
      </c>
    </row>
    <row r="333" spans="1:10" x14ac:dyDescent="0.25">
      <c r="A333" t="s">
        <v>369</v>
      </c>
      <c r="B333" s="16">
        <v>45888</v>
      </c>
      <c r="C333" t="s">
        <v>17</v>
      </c>
      <c r="D333" t="s">
        <v>55</v>
      </c>
      <c r="E333" t="s">
        <v>13</v>
      </c>
      <c r="F333" t="s">
        <v>14</v>
      </c>
      <c r="G333" t="s">
        <v>20</v>
      </c>
      <c r="H333" s="2">
        <v>196.73</v>
      </c>
      <c r="I333">
        <v>15</v>
      </c>
      <c r="J333" s="2">
        <v>2950.95</v>
      </c>
    </row>
    <row r="334" spans="1:10" x14ac:dyDescent="0.25">
      <c r="A334" t="s">
        <v>370</v>
      </c>
      <c r="B334" s="16">
        <v>45985</v>
      </c>
      <c r="C334" t="s">
        <v>30</v>
      </c>
      <c r="D334" t="s">
        <v>26</v>
      </c>
      <c r="E334" t="s">
        <v>41</v>
      </c>
      <c r="F334" t="s">
        <v>42</v>
      </c>
      <c r="G334" t="s">
        <v>15</v>
      </c>
      <c r="H334" s="2">
        <v>33.17</v>
      </c>
      <c r="I334">
        <v>19</v>
      </c>
      <c r="J334" s="2">
        <v>630.23</v>
      </c>
    </row>
    <row r="335" spans="1:10" x14ac:dyDescent="0.25">
      <c r="A335" t="s">
        <v>371</v>
      </c>
      <c r="B335" s="16">
        <v>45721</v>
      </c>
      <c r="C335" t="s">
        <v>30</v>
      </c>
      <c r="D335" t="s">
        <v>35</v>
      </c>
      <c r="E335" t="s">
        <v>23</v>
      </c>
      <c r="F335" t="s">
        <v>14</v>
      </c>
      <c r="G335" t="s">
        <v>36</v>
      </c>
      <c r="H335" s="2">
        <v>55.54</v>
      </c>
      <c r="I335">
        <v>17</v>
      </c>
      <c r="J335" s="2">
        <v>944.18</v>
      </c>
    </row>
    <row r="336" spans="1:10" x14ac:dyDescent="0.25">
      <c r="A336" t="s">
        <v>372</v>
      </c>
      <c r="B336" s="16">
        <v>46021</v>
      </c>
      <c r="C336" t="s">
        <v>34</v>
      </c>
      <c r="D336" t="s">
        <v>55</v>
      </c>
      <c r="E336" t="s">
        <v>13</v>
      </c>
      <c r="F336" t="s">
        <v>39</v>
      </c>
      <c r="G336" t="s">
        <v>15</v>
      </c>
      <c r="H336" s="2">
        <v>40.119999999999997</v>
      </c>
      <c r="I336">
        <v>8</v>
      </c>
      <c r="J336" s="2">
        <v>320.95999999999998</v>
      </c>
    </row>
    <row r="337" spans="1:10" x14ac:dyDescent="0.25">
      <c r="A337" t="s">
        <v>373</v>
      </c>
      <c r="B337" s="16">
        <v>45786</v>
      </c>
      <c r="C337" t="s">
        <v>17</v>
      </c>
      <c r="D337" t="s">
        <v>55</v>
      </c>
      <c r="E337" t="s">
        <v>13</v>
      </c>
      <c r="F337" t="s">
        <v>14</v>
      </c>
      <c r="G337" t="s">
        <v>20</v>
      </c>
      <c r="H337" s="2">
        <v>38.96</v>
      </c>
      <c r="I337">
        <v>7</v>
      </c>
      <c r="J337" s="2">
        <v>272.72000000000003</v>
      </c>
    </row>
    <row r="338" spans="1:10" x14ac:dyDescent="0.25">
      <c r="A338" t="s">
        <v>374</v>
      </c>
      <c r="B338" s="16">
        <v>45813</v>
      </c>
      <c r="C338" t="s">
        <v>25</v>
      </c>
      <c r="D338" t="s">
        <v>22</v>
      </c>
      <c r="E338" t="s">
        <v>18</v>
      </c>
      <c r="F338" t="s">
        <v>28</v>
      </c>
      <c r="G338" t="s">
        <v>15</v>
      </c>
      <c r="H338" s="2">
        <v>218.2</v>
      </c>
      <c r="I338">
        <v>20</v>
      </c>
      <c r="J338" s="2">
        <v>4364</v>
      </c>
    </row>
    <row r="339" spans="1:10" x14ac:dyDescent="0.25">
      <c r="A339" t="s">
        <v>375</v>
      </c>
      <c r="B339" s="16">
        <v>45961</v>
      </c>
      <c r="C339" t="s">
        <v>30</v>
      </c>
      <c r="D339" t="s">
        <v>26</v>
      </c>
      <c r="E339" t="s">
        <v>27</v>
      </c>
      <c r="F339" t="s">
        <v>42</v>
      </c>
      <c r="G339" t="s">
        <v>20</v>
      </c>
      <c r="H339" s="2">
        <v>184.8</v>
      </c>
      <c r="I339">
        <v>19</v>
      </c>
      <c r="J339" s="2">
        <v>3511.2</v>
      </c>
    </row>
    <row r="340" spans="1:10" x14ac:dyDescent="0.25">
      <c r="A340" t="s">
        <v>376</v>
      </c>
      <c r="B340" s="16">
        <v>45967</v>
      </c>
      <c r="C340" t="s">
        <v>25</v>
      </c>
      <c r="D340" t="s">
        <v>22</v>
      </c>
      <c r="E340" t="s">
        <v>45</v>
      </c>
      <c r="F340" t="s">
        <v>19</v>
      </c>
      <c r="G340" t="s">
        <v>15</v>
      </c>
      <c r="H340" s="2">
        <v>134.32</v>
      </c>
      <c r="I340">
        <v>11</v>
      </c>
      <c r="J340" s="2">
        <v>1477.52</v>
      </c>
    </row>
    <row r="341" spans="1:10" x14ac:dyDescent="0.25">
      <c r="A341" t="s">
        <v>377</v>
      </c>
      <c r="B341" s="16">
        <v>45986</v>
      </c>
      <c r="C341" t="s">
        <v>34</v>
      </c>
      <c r="D341" t="s">
        <v>12</v>
      </c>
      <c r="E341" t="s">
        <v>23</v>
      </c>
      <c r="F341" t="s">
        <v>39</v>
      </c>
      <c r="G341" t="s">
        <v>20</v>
      </c>
      <c r="H341" s="2">
        <v>51.52</v>
      </c>
      <c r="I341">
        <v>19</v>
      </c>
      <c r="J341" s="2">
        <v>978.88</v>
      </c>
    </row>
    <row r="342" spans="1:10" x14ac:dyDescent="0.25">
      <c r="A342" t="s">
        <v>378</v>
      </c>
      <c r="B342" s="16">
        <v>45871</v>
      </c>
      <c r="C342" t="s">
        <v>17</v>
      </c>
      <c r="D342" t="s">
        <v>22</v>
      </c>
      <c r="E342" t="s">
        <v>41</v>
      </c>
      <c r="F342" t="s">
        <v>28</v>
      </c>
      <c r="G342" t="s">
        <v>20</v>
      </c>
      <c r="H342" s="2">
        <v>138.16</v>
      </c>
      <c r="I342">
        <v>20</v>
      </c>
      <c r="J342" s="2">
        <v>2763.2</v>
      </c>
    </row>
    <row r="343" spans="1:10" x14ac:dyDescent="0.25">
      <c r="A343" t="s">
        <v>379</v>
      </c>
      <c r="B343" s="16">
        <v>45806</v>
      </c>
      <c r="C343" t="s">
        <v>38</v>
      </c>
      <c r="D343" t="s">
        <v>26</v>
      </c>
      <c r="E343" t="s">
        <v>27</v>
      </c>
      <c r="F343" t="s">
        <v>61</v>
      </c>
      <c r="G343" t="s">
        <v>36</v>
      </c>
      <c r="H343" s="2">
        <v>134.16</v>
      </c>
      <c r="I343">
        <v>10</v>
      </c>
      <c r="J343" s="2">
        <v>1341.6</v>
      </c>
    </row>
    <row r="344" spans="1:10" x14ac:dyDescent="0.25">
      <c r="A344" t="s">
        <v>380</v>
      </c>
      <c r="B344" s="16">
        <v>45890</v>
      </c>
      <c r="C344" t="s">
        <v>17</v>
      </c>
      <c r="D344" t="s">
        <v>22</v>
      </c>
      <c r="E344" t="s">
        <v>23</v>
      </c>
      <c r="F344" t="s">
        <v>61</v>
      </c>
      <c r="G344" t="s">
        <v>36</v>
      </c>
      <c r="H344" s="2">
        <v>68.099999999999994</v>
      </c>
      <c r="I344">
        <v>3</v>
      </c>
      <c r="J344" s="2">
        <v>204.3</v>
      </c>
    </row>
    <row r="345" spans="1:10" x14ac:dyDescent="0.25">
      <c r="A345" t="s">
        <v>381</v>
      </c>
      <c r="B345" s="16">
        <v>45905</v>
      </c>
      <c r="C345" t="s">
        <v>30</v>
      </c>
      <c r="D345" t="s">
        <v>35</v>
      </c>
      <c r="E345" t="s">
        <v>18</v>
      </c>
      <c r="F345" t="s">
        <v>14</v>
      </c>
      <c r="G345" t="s">
        <v>36</v>
      </c>
      <c r="H345" s="2">
        <v>125.45</v>
      </c>
      <c r="I345">
        <v>15</v>
      </c>
      <c r="J345" s="2">
        <v>1881.75</v>
      </c>
    </row>
    <row r="346" spans="1:10" x14ac:dyDescent="0.25">
      <c r="A346" t="s">
        <v>382</v>
      </c>
      <c r="B346" s="16">
        <v>45821</v>
      </c>
      <c r="C346" t="s">
        <v>38</v>
      </c>
      <c r="D346" t="s">
        <v>26</v>
      </c>
      <c r="E346" t="s">
        <v>13</v>
      </c>
      <c r="F346" t="s">
        <v>42</v>
      </c>
      <c r="G346" t="s">
        <v>20</v>
      </c>
      <c r="H346" s="2">
        <v>117.67</v>
      </c>
      <c r="I346">
        <v>12</v>
      </c>
      <c r="J346" s="2">
        <v>1412.04</v>
      </c>
    </row>
    <row r="347" spans="1:10" x14ac:dyDescent="0.25">
      <c r="A347" t="s">
        <v>383</v>
      </c>
      <c r="B347" s="16">
        <v>45712</v>
      </c>
      <c r="C347" t="s">
        <v>30</v>
      </c>
      <c r="D347" t="s">
        <v>31</v>
      </c>
      <c r="E347" t="s">
        <v>45</v>
      </c>
      <c r="F347" t="s">
        <v>32</v>
      </c>
      <c r="G347" t="s">
        <v>36</v>
      </c>
      <c r="H347" s="2">
        <v>165.49</v>
      </c>
      <c r="I347">
        <v>11</v>
      </c>
      <c r="J347" s="2">
        <v>1820.39</v>
      </c>
    </row>
    <row r="348" spans="1:10" x14ac:dyDescent="0.25">
      <c r="A348" t="s">
        <v>384</v>
      </c>
      <c r="B348" s="16">
        <v>45784</v>
      </c>
      <c r="C348" t="s">
        <v>11</v>
      </c>
      <c r="D348" t="s">
        <v>22</v>
      </c>
      <c r="E348" t="s">
        <v>13</v>
      </c>
      <c r="F348" t="s">
        <v>61</v>
      </c>
      <c r="G348" t="s">
        <v>20</v>
      </c>
      <c r="H348" s="2">
        <v>169.72</v>
      </c>
      <c r="I348">
        <v>5</v>
      </c>
      <c r="J348" s="2">
        <v>848.6</v>
      </c>
    </row>
    <row r="349" spans="1:10" x14ac:dyDescent="0.25">
      <c r="A349" t="s">
        <v>385</v>
      </c>
      <c r="B349" s="16">
        <v>45872</v>
      </c>
      <c r="C349" t="s">
        <v>30</v>
      </c>
      <c r="D349" t="s">
        <v>35</v>
      </c>
      <c r="E349" t="s">
        <v>18</v>
      </c>
      <c r="F349" t="s">
        <v>28</v>
      </c>
      <c r="G349" t="s">
        <v>36</v>
      </c>
      <c r="H349" s="2">
        <v>39.97</v>
      </c>
      <c r="I349">
        <v>8</v>
      </c>
      <c r="J349" s="2">
        <v>319.76</v>
      </c>
    </row>
    <row r="350" spans="1:10" x14ac:dyDescent="0.25">
      <c r="A350" t="s">
        <v>386</v>
      </c>
      <c r="B350" s="16">
        <v>45755</v>
      </c>
      <c r="C350" t="s">
        <v>38</v>
      </c>
      <c r="D350" t="s">
        <v>55</v>
      </c>
      <c r="E350" t="s">
        <v>41</v>
      </c>
      <c r="F350" t="s">
        <v>61</v>
      </c>
      <c r="G350" t="s">
        <v>36</v>
      </c>
      <c r="H350" s="2">
        <v>112.41</v>
      </c>
      <c r="I350">
        <v>6</v>
      </c>
      <c r="J350" s="2">
        <v>674.46</v>
      </c>
    </row>
    <row r="351" spans="1:10" x14ac:dyDescent="0.25">
      <c r="A351" t="s">
        <v>387</v>
      </c>
      <c r="B351" s="16">
        <v>45912</v>
      </c>
      <c r="C351" t="s">
        <v>11</v>
      </c>
      <c r="D351" t="s">
        <v>31</v>
      </c>
      <c r="E351" t="s">
        <v>18</v>
      </c>
      <c r="F351" t="s">
        <v>61</v>
      </c>
      <c r="G351" t="s">
        <v>15</v>
      </c>
      <c r="H351" s="2">
        <v>167.69</v>
      </c>
      <c r="I351">
        <v>1</v>
      </c>
      <c r="J351" s="2">
        <v>167.69</v>
      </c>
    </row>
    <row r="352" spans="1:10" x14ac:dyDescent="0.25">
      <c r="A352" t="s">
        <v>388</v>
      </c>
      <c r="B352" s="16">
        <v>45768</v>
      </c>
      <c r="C352" t="s">
        <v>34</v>
      </c>
      <c r="D352" t="s">
        <v>22</v>
      </c>
      <c r="E352" t="s">
        <v>45</v>
      </c>
      <c r="F352" t="s">
        <v>32</v>
      </c>
      <c r="G352" t="s">
        <v>36</v>
      </c>
      <c r="H352" s="2">
        <v>140.69</v>
      </c>
      <c r="I352">
        <v>19</v>
      </c>
      <c r="J352" s="2">
        <v>2673.11</v>
      </c>
    </row>
    <row r="353" spans="1:10" x14ac:dyDescent="0.25">
      <c r="A353" t="s">
        <v>389</v>
      </c>
      <c r="B353" s="16">
        <v>45963</v>
      </c>
      <c r="C353" t="s">
        <v>34</v>
      </c>
      <c r="D353" t="s">
        <v>55</v>
      </c>
      <c r="E353" t="s">
        <v>45</v>
      </c>
      <c r="F353" t="s">
        <v>39</v>
      </c>
      <c r="G353" t="s">
        <v>15</v>
      </c>
      <c r="H353" s="2">
        <v>218.43</v>
      </c>
      <c r="I353">
        <v>16</v>
      </c>
      <c r="J353" s="2">
        <v>3494.88</v>
      </c>
    </row>
    <row r="354" spans="1:10" x14ac:dyDescent="0.25">
      <c r="A354" t="s">
        <v>390</v>
      </c>
      <c r="B354" s="16">
        <v>45878</v>
      </c>
      <c r="C354" t="s">
        <v>34</v>
      </c>
      <c r="D354" t="s">
        <v>12</v>
      </c>
      <c r="E354" t="s">
        <v>13</v>
      </c>
      <c r="F354" t="s">
        <v>39</v>
      </c>
      <c r="G354" t="s">
        <v>36</v>
      </c>
      <c r="H354" s="2">
        <v>174.91</v>
      </c>
      <c r="I354">
        <v>5</v>
      </c>
      <c r="J354" s="2">
        <v>874.55</v>
      </c>
    </row>
    <row r="355" spans="1:10" x14ac:dyDescent="0.25">
      <c r="A355" t="s">
        <v>391</v>
      </c>
      <c r="B355" s="16">
        <v>45845</v>
      </c>
      <c r="C355" t="s">
        <v>38</v>
      </c>
      <c r="D355" t="s">
        <v>22</v>
      </c>
      <c r="E355" t="s">
        <v>18</v>
      </c>
      <c r="F355" t="s">
        <v>42</v>
      </c>
      <c r="G355" t="s">
        <v>15</v>
      </c>
      <c r="H355" s="2">
        <v>65.849999999999994</v>
      </c>
      <c r="I355">
        <v>2</v>
      </c>
      <c r="J355" s="2">
        <v>131.69999999999999</v>
      </c>
    </row>
    <row r="356" spans="1:10" x14ac:dyDescent="0.25">
      <c r="A356" t="s">
        <v>392</v>
      </c>
      <c r="B356" s="16">
        <v>45843</v>
      </c>
      <c r="C356" t="s">
        <v>34</v>
      </c>
      <c r="D356" t="s">
        <v>22</v>
      </c>
      <c r="E356" t="s">
        <v>41</v>
      </c>
      <c r="F356" t="s">
        <v>42</v>
      </c>
      <c r="G356" t="s">
        <v>36</v>
      </c>
      <c r="H356" s="2">
        <v>45.53</v>
      </c>
      <c r="I356">
        <v>18</v>
      </c>
      <c r="J356" s="2">
        <v>819.54</v>
      </c>
    </row>
    <row r="357" spans="1:10" x14ac:dyDescent="0.25">
      <c r="A357" t="s">
        <v>393</v>
      </c>
      <c r="B357" s="16">
        <v>45939</v>
      </c>
      <c r="C357" t="s">
        <v>25</v>
      </c>
      <c r="D357" t="s">
        <v>12</v>
      </c>
      <c r="E357" t="s">
        <v>18</v>
      </c>
      <c r="F357" t="s">
        <v>19</v>
      </c>
      <c r="G357" t="s">
        <v>15</v>
      </c>
      <c r="H357" s="2">
        <v>171.33</v>
      </c>
      <c r="I357">
        <v>9</v>
      </c>
      <c r="J357" s="2">
        <v>1541.97</v>
      </c>
    </row>
    <row r="358" spans="1:10" x14ac:dyDescent="0.25">
      <c r="A358" t="s">
        <v>394</v>
      </c>
      <c r="B358" s="16">
        <v>45707</v>
      </c>
      <c r="C358" t="s">
        <v>34</v>
      </c>
      <c r="D358" t="s">
        <v>35</v>
      </c>
      <c r="E358" t="s">
        <v>18</v>
      </c>
      <c r="F358" t="s">
        <v>32</v>
      </c>
      <c r="G358" t="s">
        <v>15</v>
      </c>
      <c r="H358" s="2">
        <v>35.83</v>
      </c>
      <c r="I358">
        <v>13</v>
      </c>
      <c r="J358" s="2">
        <v>465.79</v>
      </c>
    </row>
    <row r="359" spans="1:10" x14ac:dyDescent="0.25">
      <c r="A359" t="s">
        <v>395</v>
      </c>
      <c r="B359" s="16">
        <v>45759</v>
      </c>
      <c r="C359" t="s">
        <v>25</v>
      </c>
      <c r="D359" t="s">
        <v>31</v>
      </c>
      <c r="E359" t="s">
        <v>18</v>
      </c>
      <c r="F359" t="s">
        <v>19</v>
      </c>
      <c r="G359" t="s">
        <v>15</v>
      </c>
      <c r="H359" s="2">
        <v>158.87</v>
      </c>
      <c r="I359">
        <v>20</v>
      </c>
      <c r="J359" s="2">
        <v>3177.4</v>
      </c>
    </row>
    <row r="360" spans="1:10" x14ac:dyDescent="0.25">
      <c r="A360" t="s">
        <v>396</v>
      </c>
      <c r="B360" s="16">
        <v>45677</v>
      </c>
      <c r="C360" t="s">
        <v>17</v>
      </c>
      <c r="D360" t="s">
        <v>35</v>
      </c>
      <c r="E360" t="s">
        <v>41</v>
      </c>
      <c r="F360" t="s">
        <v>42</v>
      </c>
      <c r="G360" t="s">
        <v>36</v>
      </c>
      <c r="H360" s="2">
        <v>236.85</v>
      </c>
      <c r="I360">
        <v>5</v>
      </c>
      <c r="J360" s="2">
        <v>1184.25</v>
      </c>
    </row>
    <row r="361" spans="1:10" x14ac:dyDescent="0.25">
      <c r="A361" t="s">
        <v>397</v>
      </c>
      <c r="B361" s="16">
        <v>45734</v>
      </c>
      <c r="C361" t="s">
        <v>25</v>
      </c>
      <c r="D361" t="s">
        <v>26</v>
      </c>
      <c r="E361" t="s">
        <v>13</v>
      </c>
      <c r="F361" t="s">
        <v>42</v>
      </c>
      <c r="G361" t="s">
        <v>36</v>
      </c>
      <c r="H361" s="2">
        <v>156.6</v>
      </c>
      <c r="I361">
        <v>20</v>
      </c>
      <c r="J361" s="2">
        <v>3132</v>
      </c>
    </row>
    <row r="362" spans="1:10" x14ac:dyDescent="0.25">
      <c r="A362" t="s">
        <v>398</v>
      </c>
      <c r="B362" s="16">
        <v>45741</v>
      </c>
      <c r="C362" t="s">
        <v>25</v>
      </c>
      <c r="D362" t="s">
        <v>12</v>
      </c>
      <c r="E362" t="s">
        <v>13</v>
      </c>
      <c r="F362" t="s">
        <v>42</v>
      </c>
      <c r="G362" t="s">
        <v>36</v>
      </c>
      <c r="H362" s="2">
        <v>115.4</v>
      </c>
      <c r="I362">
        <v>13</v>
      </c>
      <c r="J362" s="2">
        <v>1500.2</v>
      </c>
    </row>
    <row r="363" spans="1:10" x14ac:dyDescent="0.25">
      <c r="A363" t="s">
        <v>399</v>
      </c>
      <c r="B363" s="16">
        <v>45917</v>
      </c>
      <c r="C363" t="s">
        <v>25</v>
      </c>
      <c r="D363" t="s">
        <v>31</v>
      </c>
      <c r="E363" t="s">
        <v>27</v>
      </c>
      <c r="F363" t="s">
        <v>42</v>
      </c>
      <c r="G363" t="s">
        <v>36</v>
      </c>
      <c r="H363" s="2">
        <v>171.52</v>
      </c>
      <c r="I363">
        <v>17</v>
      </c>
      <c r="J363" s="2">
        <v>2915.84</v>
      </c>
    </row>
    <row r="364" spans="1:10" x14ac:dyDescent="0.25">
      <c r="A364" t="s">
        <v>400</v>
      </c>
      <c r="B364" s="16">
        <v>45901</v>
      </c>
      <c r="C364" t="s">
        <v>34</v>
      </c>
      <c r="D364" t="s">
        <v>35</v>
      </c>
      <c r="E364" t="s">
        <v>27</v>
      </c>
      <c r="F364" t="s">
        <v>19</v>
      </c>
      <c r="G364" t="s">
        <v>36</v>
      </c>
      <c r="H364" s="2">
        <v>130.82</v>
      </c>
      <c r="I364">
        <v>1</v>
      </c>
      <c r="J364" s="2">
        <v>130.82</v>
      </c>
    </row>
    <row r="365" spans="1:10" x14ac:dyDescent="0.25">
      <c r="A365" t="s">
        <v>401</v>
      </c>
      <c r="B365" s="16">
        <v>45956</v>
      </c>
      <c r="C365" t="s">
        <v>17</v>
      </c>
      <c r="D365" t="s">
        <v>12</v>
      </c>
      <c r="E365" t="s">
        <v>27</v>
      </c>
      <c r="F365" t="s">
        <v>19</v>
      </c>
      <c r="G365" t="s">
        <v>20</v>
      </c>
      <c r="H365" s="2">
        <v>150.04</v>
      </c>
      <c r="I365">
        <v>10</v>
      </c>
      <c r="J365" s="2">
        <v>1500.4</v>
      </c>
    </row>
    <row r="366" spans="1:10" x14ac:dyDescent="0.25">
      <c r="A366" t="s">
        <v>402</v>
      </c>
      <c r="B366" s="16">
        <v>45900</v>
      </c>
      <c r="C366" t="s">
        <v>17</v>
      </c>
      <c r="D366" t="s">
        <v>55</v>
      </c>
      <c r="E366" t="s">
        <v>18</v>
      </c>
      <c r="F366" t="s">
        <v>14</v>
      </c>
      <c r="G366" t="s">
        <v>20</v>
      </c>
      <c r="H366" s="2">
        <v>237.12</v>
      </c>
      <c r="I366">
        <v>9</v>
      </c>
      <c r="J366" s="2">
        <v>2134.08</v>
      </c>
    </row>
    <row r="367" spans="1:10" x14ac:dyDescent="0.25">
      <c r="A367" t="s">
        <v>403</v>
      </c>
      <c r="B367" s="16">
        <v>45684</v>
      </c>
      <c r="C367" t="s">
        <v>38</v>
      </c>
      <c r="D367" t="s">
        <v>26</v>
      </c>
      <c r="E367" t="s">
        <v>18</v>
      </c>
      <c r="F367" t="s">
        <v>28</v>
      </c>
      <c r="G367" t="s">
        <v>20</v>
      </c>
      <c r="H367" s="2">
        <v>114.94</v>
      </c>
      <c r="I367">
        <v>19</v>
      </c>
      <c r="J367" s="2">
        <v>2183.86</v>
      </c>
    </row>
    <row r="368" spans="1:10" x14ac:dyDescent="0.25">
      <c r="A368" t="s">
        <v>404</v>
      </c>
      <c r="B368" s="16">
        <v>45975</v>
      </c>
      <c r="C368" t="s">
        <v>30</v>
      </c>
      <c r="D368" t="s">
        <v>12</v>
      </c>
      <c r="E368" t="s">
        <v>23</v>
      </c>
      <c r="F368" t="s">
        <v>19</v>
      </c>
      <c r="G368" t="s">
        <v>20</v>
      </c>
      <c r="H368" s="2">
        <v>241.46</v>
      </c>
      <c r="I368">
        <v>13</v>
      </c>
      <c r="J368" s="2">
        <v>3138.98</v>
      </c>
    </row>
    <row r="369" spans="1:10" x14ac:dyDescent="0.25">
      <c r="A369" t="s">
        <v>405</v>
      </c>
      <c r="B369" s="16">
        <v>46016</v>
      </c>
      <c r="C369" t="s">
        <v>30</v>
      </c>
      <c r="D369" t="s">
        <v>22</v>
      </c>
      <c r="E369" t="s">
        <v>41</v>
      </c>
      <c r="F369" t="s">
        <v>32</v>
      </c>
      <c r="G369" t="s">
        <v>36</v>
      </c>
      <c r="H369" s="2">
        <v>229.18</v>
      </c>
      <c r="I369">
        <v>4</v>
      </c>
      <c r="J369" s="2">
        <v>916.72</v>
      </c>
    </row>
    <row r="370" spans="1:10" x14ac:dyDescent="0.25">
      <c r="A370" t="s">
        <v>406</v>
      </c>
      <c r="B370" s="16">
        <v>45735</v>
      </c>
      <c r="C370" t="s">
        <v>17</v>
      </c>
      <c r="D370" t="s">
        <v>26</v>
      </c>
      <c r="E370" t="s">
        <v>41</v>
      </c>
      <c r="F370" t="s">
        <v>42</v>
      </c>
      <c r="G370" t="s">
        <v>20</v>
      </c>
      <c r="H370" s="2">
        <v>73.069999999999993</v>
      </c>
      <c r="I370">
        <v>14</v>
      </c>
      <c r="J370" s="2">
        <v>1022.98</v>
      </c>
    </row>
    <row r="371" spans="1:10" x14ac:dyDescent="0.25">
      <c r="A371" t="s">
        <v>407</v>
      </c>
      <c r="B371" s="16">
        <v>45899</v>
      </c>
      <c r="C371" t="s">
        <v>17</v>
      </c>
      <c r="D371" t="s">
        <v>26</v>
      </c>
      <c r="E371" t="s">
        <v>18</v>
      </c>
      <c r="F371" t="s">
        <v>14</v>
      </c>
      <c r="G371" t="s">
        <v>20</v>
      </c>
      <c r="H371" s="2">
        <v>45.26</v>
      </c>
      <c r="I371">
        <v>2</v>
      </c>
      <c r="J371" s="2">
        <v>90.52</v>
      </c>
    </row>
    <row r="372" spans="1:10" x14ac:dyDescent="0.25">
      <c r="A372" t="s">
        <v>408</v>
      </c>
      <c r="B372" s="16">
        <v>45824</v>
      </c>
      <c r="C372" t="s">
        <v>25</v>
      </c>
      <c r="D372" t="s">
        <v>31</v>
      </c>
      <c r="E372" t="s">
        <v>13</v>
      </c>
      <c r="F372" t="s">
        <v>14</v>
      </c>
      <c r="G372" t="s">
        <v>36</v>
      </c>
      <c r="H372" s="2">
        <v>52.17</v>
      </c>
      <c r="I372">
        <v>16</v>
      </c>
      <c r="J372" s="2">
        <v>834.72</v>
      </c>
    </row>
    <row r="373" spans="1:10" x14ac:dyDescent="0.25">
      <c r="A373" t="s">
        <v>409</v>
      </c>
      <c r="B373" s="16">
        <v>45930</v>
      </c>
      <c r="C373" t="s">
        <v>25</v>
      </c>
      <c r="D373" t="s">
        <v>35</v>
      </c>
      <c r="E373" t="s">
        <v>27</v>
      </c>
      <c r="F373" t="s">
        <v>39</v>
      </c>
      <c r="G373" t="s">
        <v>20</v>
      </c>
      <c r="H373" s="2">
        <v>34.01</v>
      </c>
      <c r="I373">
        <v>11</v>
      </c>
      <c r="J373" s="2">
        <v>374.11</v>
      </c>
    </row>
    <row r="374" spans="1:10" x14ac:dyDescent="0.25">
      <c r="A374" t="s">
        <v>410</v>
      </c>
      <c r="B374" s="16">
        <v>46006</v>
      </c>
      <c r="C374" t="s">
        <v>25</v>
      </c>
      <c r="D374" t="s">
        <v>31</v>
      </c>
      <c r="E374" t="s">
        <v>23</v>
      </c>
      <c r="F374" t="s">
        <v>14</v>
      </c>
      <c r="G374" t="s">
        <v>36</v>
      </c>
      <c r="H374" s="2">
        <v>50.78</v>
      </c>
      <c r="I374">
        <v>9</v>
      </c>
      <c r="J374" s="2">
        <v>457.02</v>
      </c>
    </row>
    <row r="375" spans="1:10" x14ac:dyDescent="0.25">
      <c r="A375" t="s">
        <v>411</v>
      </c>
      <c r="B375" s="16">
        <v>45943</v>
      </c>
      <c r="C375" t="s">
        <v>30</v>
      </c>
      <c r="D375" t="s">
        <v>35</v>
      </c>
      <c r="E375" t="s">
        <v>13</v>
      </c>
      <c r="F375" t="s">
        <v>28</v>
      </c>
      <c r="G375" t="s">
        <v>15</v>
      </c>
      <c r="H375" s="2">
        <v>180.26</v>
      </c>
      <c r="I375">
        <v>10</v>
      </c>
      <c r="J375" s="2">
        <v>1802.6</v>
      </c>
    </row>
    <row r="376" spans="1:10" x14ac:dyDescent="0.25">
      <c r="A376" t="s">
        <v>412</v>
      </c>
      <c r="B376" s="16">
        <v>46011</v>
      </c>
      <c r="C376" t="s">
        <v>34</v>
      </c>
      <c r="D376" t="s">
        <v>31</v>
      </c>
      <c r="E376" t="s">
        <v>13</v>
      </c>
      <c r="F376" t="s">
        <v>42</v>
      </c>
      <c r="G376" t="s">
        <v>20</v>
      </c>
      <c r="H376" s="2">
        <v>45.66</v>
      </c>
      <c r="I376">
        <v>16</v>
      </c>
      <c r="J376" s="2">
        <v>730.56</v>
      </c>
    </row>
    <row r="377" spans="1:10" x14ac:dyDescent="0.25">
      <c r="A377" t="s">
        <v>413</v>
      </c>
      <c r="B377" s="16">
        <v>45798</v>
      </c>
      <c r="C377" t="s">
        <v>11</v>
      </c>
      <c r="D377" t="s">
        <v>55</v>
      </c>
      <c r="E377" t="s">
        <v>27</v>
      </c>
      <c r="F377" t="s">
        <v>42</v>
      </c>
      <c r="G377" t="s">
        <v>36</v>
      </c>
      <c r="H377" s="2">
        <v>100.17</v>
      </c>
      <c r="I377">
        <v>10</v>
      </c>
      <c r="J377" s="2">
        <v>1001.7</v>
      </c>
    </row>
    <row r="378" spans="1:10" x14ac:dyDescent="0.25">
      <c r="A378" t="s">
        <v>414</v>
      </c>
      <c r="B378" s="16">
        <v>45860</v>
      </c>
      <c r="C378" t="s">
        <v>30</v>
      </c>
      <c r="D378" t="s">
        <v>35</v>
      </c>
      <c r="E378" t="s">
        <v>45</v>
      </c>
      <c r="F378" t="s">
        <v>32</v>
      </c>
      <c r="G378" t="s">
        <v>20</v>
      </c>
      <c r="H378" s="2">
        <v>215.87</v>
      </c>
      <c r="I378">
        <v>12</v>
      </c>
      <c r="J378" s="2">
        <v>2590.44</v>
      </c>
    </row>
    <row r="379" spans="1:10" x14ac:dyDescent="0.25">
      <c r="A379" t="s">
        <v>415</v>
      </c>
      <c r="B379" s="16">
        <v>45698</v>
      </c>
      <c r="C379" t="s">
        <v>38</v>
      </c>
      <c r="D379" t="s">
        <v>12</v>
      </c>
      <c r="E379" t="s">
        <v>13</v>
      </c>
      <c r="F379" t="s">
        <v>28</v>
      </c>
      <c r="G379" t="s">
        <v>36</v>
      </c>
      <c r="H379" s="2">
        <v>35.119999999999997</v>
      </c>
      <c r="I379">
        <v>12</v>
      </c>
      <c r="J379" s="2">
        <v>421.44</v>
      </c>
    </row>
    <row r="380" spans="1:10" x14ac:dyDescent="0.25">
      <c r="A380" t="s">
        <v>416</v>
      </c>
      <c r="B380" s="16">
        <v>45767</v>
      </c>
      <c r="C380" t="s">
        <v>25</v>
      </c>
      <c r="D380" t="s">
        <v>35</v>
      </c>
      <c r="E380" t="s">
        <v>18</v>
      </c>
      <c r="F380" t="s">
        <v>28</v>
      </c>
      <c r="G380" t="s">
        <v>36</v>
      </c>
      <c r="H380" s="2">
        <v>209.18</v>
      </c>
      <c r="I380">
        <v>7</v>
      </c>
      <c r="J380" s="2">
        <v>1464.26</v>
      </c>
    </row>
    <row r="381" spans="1:10" x14ac:dyDescent="0.25">
      <c r="A381" t="s">
        <v>417</v>
      </c>
      <c r="B381" s="16">
        <v>45728</v>
      </c>
      <c r="C381" t="s">
        <v>25</v>
      </c>
      <c r="D381" t="s">
        <v>12</v>
      </c>
      <c r="E381" t="s">
        <v>18</v>
      </c>
      <c r="F381" t="s">
        <v>14</v>
      </c>
      <c r="G381" t="s">
        <v>15</v>
      </c>
      <c r="H381" s="2">
        <v>92.01</v>
      </c>
      <c r="I381">
        <v>4</v>
      </c>
      <c r="J381" s="2">
        <v>368.04</v>
      </c>
    </row>
    <row r="382" spans="1:10" x14ac:dyDescent="0.25">
      <c r="A382" t="s">
        <v>418</v>
      </c>
      <c r="B382" s="16">
        <v>45683</v>
      </c>
      <c r="C382" t="s">
        <v>30</v>
      </c>
      <c r="D382" t="s">
        <v>12</v>
      </c>
      <c r="E382" t="s">
        <v>23</v>
      </c>
      <c r="F382" t="s">
        <v>19</v>
      </c>
      <c r="G382" t="s">
        <v>15</v>
      </c>
      <c r="H382" s="2">
        <v>56</v>
      </c>
      <c r="I382">
        <v>17</v>
      </c>
      <c r="J382" s="2">
        <v>952</v>
      </c>
    </row>
    <row r="383" spans="1:10" x14ac:dyDescent="0.25">
      <c r="A383" t="s">
        <v>419</v>
      </c>
      <c r="B383" s="16">
        <v>45869</v>
      </c>
      <c r="C383" t="s">
        <v>17</v>
      </c>
      <c r="D383" t="s">
        <v>31</v>
      </c>
      <c r="E383" t="s">
        <v>45</v>
      </c>
      <c r="F383" t="s">
        <v>28</v>
      </c>
      <c r="G383" t="s">
        <v>15</v>
      </c>
      <c r="H383" s="2">
        <v>183.28</v>
      </c>
      <c r="I383">
        <v>11</v>
      </c>
      <c r="J383" s="2">
        <v>2016.08</v>
      </c>
    </row>
    <row r="384" spans="1:10" x14ac:dyDescent="0.25">
      <c r="A384" t="s">
        <v>420</v>
      </c>
      <c r="B384" s="16">
        <v>45660</v>
      </c>
      <c r="C384" t="s">
        <v>30</v>
      </c>
      <c r="D384" t="s">
        <v>31</v>
      </c>
      <c r="E384" t="s">
        <v>27</v>
      </c>
      <c r="F384" t="s">
        <v>61</v>
      </c>
      <c r="G384" t="s">
        <v>36</v>
      </c>
      <c r="H384" s="2">
        <v>168.37</v>
      </c>
      <c r="I384">
        <v>18</v>
      </c>
      <c r="J384" s="2">
        <v>3030.66</v>
      </c>
    </row>
    <row r="385" spans="1:10" x14ac:dyDescent="0.25">
      <c r="A385" t="s">
        <v>421</v>
      </c>
      <c r="B385" s="16">
        <v>45991</v>
      </c>
      <c r="C385" t="s">
        <v>34</v>
      </c>
      <c r="D385" t="s">
        <v>35</v>
      </c>
      <c r="E385" t="s">
        <v>13</v>
      </c>
      <c r="F385" t="s">
        <v>28</v>
      </c>
      <c r="G385" t="s">
        <v>15</v>
      </c>
      <c r="H385" s="2">
        <v>223.04</v>
      </c>
      <c r="I385">
        <v>7</v>
      </c>
      <c r="J385" s="2">
        <v>1561.28</v>
      </c>
    </row>
    <row r="386" spans="1:10" x14ac:dyDescent="0.25">
      <c r="A386" t="s">
        <v>422</v>
      </c>
      <c r="B386" s="16">
        <v>45703</v>
      </c>
      <c r="C386" t="s">
        <v>30</v>
      </c>
      <c r="D386" t="s">
        <v>55</v>
      </c>
      <c r="E386" t="s">
        <v>27</v>
      </c>
      <c r="F386" t="s">
        <v>28</v>
      </c>
      <c r="G386" t="s">
        <v>15</v>
      </c>
      <c r="H386" s="2">
        <v>191.72</v>
      </c>
      <c r="I386">
        <v>19</v>
      </c>
      <c r="J386" s="2">
        <v>3642.68</v>
      </c>
    </row>
    <row r="387" spans="1:10" x14ac:dyDescent="0.25">
      <c r="A387" t="s">
        <v>423</v>
      </c>
      <c r="B387" s="16">
        <v>45747</v>
      </c>
      <c r="C387" t="s">
        <v>30</v>
      </c>
      <c r="D387" t="s">
        <v>22</v>
      </c>
      <c r="E387" t="s">
        <v>41</v>
      </c>
      <c r="F387" t="s">
        <v>39</v>
      </c>
      <c r="G387" t="s">
        <v>36</v>
      </c>
      <c r="H387" s="2">
        <v>206.77</v>
      </c>
      <c r="I387">
        <v>14</v>
      </c>
      <c r="J387" s="2">
        <v>2894.78</v>
      </c>
    </row>
    <row r="388" spans="1:10" x14ac:dyDescent="0.25">
      <c r="A388" t="s">
        <v>424</v>
      </c>
      <c r="B388" s="16">
        <v>45753</v>
      </c>
      <c r="C388" t="s">
        <v>11</v>
      </c>
      <c r="D388" t="s">
        <v>22</v>
      </c>
      <c r="E388" t="s">
        <v>13</v>
      </c>
      <c r="F388" t="s">
        <v>42</v>
      </c>
      <c r="G388" t="s">
        <v>20</v>
      </c>
      <c r="H388" s="2">
        <v>92.05</v>
      </c>
      <c r="I388">
        <v>10</v>
      </c>
      <c r="J388" s="2">
        <v>920.5</v>
      </c>
    </row>
    <row r="389" spans="1:10" x14ac:dyDescent="0.25">
      <c r="A389" t="s">
        <v>425</v>
      </c>
      <c r="B389" s="16">
        <v>45712</v>
      </c>
      <c r="C389" t="s">
        <v>34</v>
      </c>
      <c r="D389" t="s">
        <v>31</v>
      </c>
      <c r="E389" t="s">
        <v>27</v>
      </c>
      <c r="F389" t="s">
        <v>42</v>
      </c>
      <c r="G389" t="s">
        <v>20</v>
      </c>
      <c r="H389" s="2">
        <v>69.040000000000006</v>
      </c>
      <c r="I389">
        <v>11</v>
      </c>
      <c r="J389" s="2">
        <v>759.44</v>
      </c>
    </row>
    <row r="390" spans="1:10" x14ac:dyDescent="0.25">
      <c r="A390" t="s">
        <v>426</v>
      </c>
      <c r="B390" s="16">
        <v>45910</v>
      </c>
      <c r="C390" t="s">
        <v>25</v>
      </c>
      <c r="D390" t="s">
        <v>31</v>
      </c>
      <c r="E390" t="s">
        <v>13</v>
      </c>
      <c r="F390" t="s">
        <v>14</v>
      </c>
      <c r="G390" t="s">
        <v>15</v>
      </c>
      <c r="H390" s="2">
        <v>195.14</v>
      </c>
      <c r="I390">
        <v>5</v>
      </c>
      <c r="J390" s="2">
        <v>975.7</v>
      </c>
    </row>
    <row r="391" spans="1:10" x14ac:dyDescent="0.25">
      <c r="A391" t="s">
        <v>427</v>
      </c>
      <c r="B391" s="16">
        <v>45827</v>
      </c>
      <c r="C391" t="s">
        <v>17</v>
      </c>
      <c r="D391" t="s">
        <v>31</v>
      </c>
      <c r="E391" t="s">
        <v>27</v>
      </c>
      <c r="F391" t="s">
        <v>32</v>
      </c>
      <c r="G391" t="s">
        <v>20</v>
      </c>
      <c r="H391" s="2">
        <v>207.5</v>
      </c>
      <c r="I391">
        <v>6</v>
      </c>
      <c r="J391" s="2">
        <v>1245</v>
      </c>
    </row>
    <row r="392" spans="1:10" x14ac:dyDescent="0.25">
      <c r="A392" t="s">
        <v>428</v>
      </c>
      <c r="B392" s="16">
        <v>45753</v>
      </c>
      <c r="C392" t="s">
        <v>17</v>
      </c>
      <c r="D392" t="s">
        <v>35</v>
      </c>
      <c r="E392" t="s">
        <v>13</v>
      </c>
      <c r="F392" t="s">
        <v>42</v>
      </c>
      <c r="G392" t="s">
        <v>20</v>
      </c>
      <c r="H392" s="2">
        <v>247.91</v>
      </c>
      <c r="I392">
        <v>1</v>
      </c>
      <c r="J392" s="2">
        <v>247.91</v>
      </c>
    </row>
    <row r="393" spans="1:10" x14ac:dyDescent="0.25">
      <c r="A393" t="s">
        <v>429</v>
      </c>
      <c r="B393" s="16">
        <v>45756</v>
      </c>
      <c r="C393" t="s">
        <v>25</v>
      </c>
      <c r="D393" t="s">
        <v>12</v>
      </c>
      <c r="E393" t="s">
        <v>41</v>
      </c>
      <c r="F393" t="s">
        <v>39</v>
      </c>
      <c r="G393" t="s">
        <v>36</v>
      </c>
      <c r="H393" s="2">
        <v>120.78</v>
      </c>
      <c r="I393">
        <v>6</v>
      </c>
      <c r="J393" s="2">
        <v>724.68</v>
      </c>
    </row>
    <row r="394" spans="1:10" x14ac:dyDescent="0.25">
      <c r="A394" t="s">
        <v>430</v>
      </c>
      <c r="B394" s="16">
        <v>45921</v>
      </c>
      <c r="C394" t="s">
        <v>11</v>
      </c>
      <c r="D394" t="s">
        <v>31</v>
      </c>
      <c r="E394" t="s">
        <v>27</v>
      </c>
      <c r="F394" t="s">
        <v>19</v>
      </c>
      <c r="G394" t="s">
        <v>15</v>
      </c>
      <c r="H394" s="2">
        <v>111.84</v>
      </c>
      <c r="I394">
        <v>11</v>
      </c>
      <c r="J394" s="2">
        <v>1230.24</v>
      </c>
    </row>
    <row r="395" spans="1:10" x14ac:dyDescent="0.25">
      <c r="A395" t="s">
        <v>431</v>
      </c>
      <c r="B395" s="16">
        <v>45729</v>
      </c>
      <c r="C395" t="s">
        <v>34</v>
      </c>
      <c r="D395" t="s">
        <v>26</v>
      </c>
      <c r="E395" t="s">
        <v>45</v>
      </c>
      <c r="F395" t="s">
        <v>32</v>
      </c>
      <c r="G395" t="s">
        <v>36</v>
      </c>
      <c r="H395" s="2">
        <v>200.81</v>
      </c>
      <c r="I395">
        <v>16</v>
      </c>
      <c r="J395" s="2">
        <v>3212.96</v>
      </c>
    </row>
    <row r="396" spans="1:10" x14ac:dyDescent="0.25">
      <c r="A396" t="s">
        <v>432</v>
      </c>
      <c r="B396" s="16">
        <v>45778</v>
      </c>
      <c r="C396" t="s">
        <v>34</v>
      </c>
      <c r="D396" t="s">
        <v>35</v>
      </c>
      <c r="E396" t="s">
        <v>13</v>
      </c>
      <c r="F396" t="s">
        <v>42</v>
      </c>
      <c r="G396" t="s">
        <v>20</v>
      </c>
      <c r="H396" s="2">
        <v>104.98</v>
      </c>
      <c r="I396">
        <v>15</v>
      </c>
      <c r="J396" s="2">
        <v>1574.7</v>
      </c>
    </row>
    <row r="397" spans="1:10" x14ac:dyDescent="0.25">
      <c r="A397" t="s">
        <v>433</v>
      </c>
      <c r="B397" s="16">
        <v>45951</v>
      </c>
      <c r="C397" t="s">
        <v>34</v>
      </c>
      <c r="D397" t="s">
        <v>12</v>
      </c>
      <c r="E397" t="s">
        <v>13</v>
      </c>
      <c r="F397" t="s">
        <v>28</v>
      </c>
      <c r="G397" t="s">
        <v>15</v>
      </c>
      <c r="H397" s="2">
        <v>234.77</v>
      </c>
      <c r="I397">
        <v>1</v>
      </c>
      <c r="J397" s="2">
        <v>234.77</v>
      </c>
    </row>
    <row r="398" spans="1:10" x14ac:dyDescent="0.25">
      <c r="A398" t="s">
        <v>434</v>
      </c>
      <c r="B398" s="16">
        <v>45689</v>
      </c>
      <c r="C398" t="s">
        <v>38</v>
      </c>
      <c r="D398" t="s">
        <v>35</v>
      </c>
      <c r="E398" t="s">
        <v>23</v>
      </c>
      <c r="F398" t="s">
        <v>61</v>
      </c>
      <c r="G398" t="s">
        <v>20</v>
      </c>
      <c r="H398" s="2">
        <v>218.85</v>
      </c>
      <c r="I398">
        <v>4</v>
      </c>
      <c r="J398" s="2">
        <v>875.4</v>
      </c>
    </row>
    <row r="399" spans="1:10" x14ac:dyDescent="0.25">
      <c r="A399" t="s">
        <v>435</v>
      </c>
      <c r="B399" s="16">
        <v>45915</v>
      </c>
      <c r="C399" t="s">
        <v>17</v>
      </c>
      <c r="D399" t="s">
        <v>22</v>
      </c>
      <c r="E399" t="s">
        <v>27</v>
      </c>
      <c r="F399" t="s">
        <v>32</v>
      </c>
      <c r="G399" t="s">
        <v>36</v>
      </c>
      <c r="H399" s="2">
        <v>124.38</v>
      </c>
      <c r="I399">
        <v>10</v>
      </c>
      <c r="J399" s="2">
        <v>1243.8</v>
      </c>
    </row>
    <row r="400" spans="1:10" x14ac:dyDescent="0.25">
      <c r="A400" t="s">
        <v>436</v>
      </c>
      <c r="B400" s="16">
        <v>45972</v>
      </c>
      <c r="C400" t="s">
        <v>30</v>
      </c>
      <c r="D400" t="s">
        <v>26</v>
      </c>
      <c r="E400" t="s">
        <v>41</v>
      </c>
      <c r="F400" t="s">
        <v>14</v>
      </c>
      <c r="G400" t="s">
        <v>36</v>
      </c>
      <c r="H400" s="2">
        <v>195.19</v>
      </c>
      <c r="I400">
        <v>8</v>
      </c>
      <c r="J400" s="2">
        <v>1561.52</v>
      </c>
    </row>
    <row r="401" spans="1:10" x14ac:dyDescent="0.25">
      <c r="A401" t="s">
        <v>437</v>
      </c>
      <c r="B401" s="16">
        <v>45968</v>
      </c>
      <c r="C401" t="s">
        <v>38</v>
      </c>
      <c r="D401" t="s">
        <v>12</v>
      </c>
      <c r="E401" t="s">
        <v>18</v>
      </c>
      <c r="F401" t="s">
        <v>61</v>
      </c>
      <c r="G401" t="s">
        <v>20</v>
      </c>
      <c r="H401" s="2">
        <v>196</v>
      </c>
      <c r="I401">
        <v>12</v>
      </c>
      <c r="J401" s="2">
        <v>2352</v>
      </c>
    </row>
    <row r="402" spans="1:10" x14ac:dyDescent="0.25">
      <c r="A402" t="s">
        <v>438</v>
      </c>
      <c r="B402" s="16">
        <v>45998</v>
      </c>
      <c r="C402" t="s">
        <v>30</v>
      </c>
      <c r="D402" t="s">
        <v>12</v>
      </c>
      <c r="E402" t="s">
        <v>18</v>
      </c>
      <c r="F402" t="s">
        <v>39</v>
      </c>
      <c r="G402" t="s">
        <v>15</v>
      </c>
      <c r="H402" s="2">
        <v>52.69</v>
      </c>
      <c r="I402">
        <v>7</v>
      </c>
      <c r="J402" s="2">
        <v>368.83</v>
      </c>
    </row>
    <row r="403" spans="1:10" x14ac:dyDescent="0.25">
      <c r="A403" t="s">
        <v>439</v>
      </c>
      <c r="B403" s="16">
        <v>45927</v>
      </c>
      <c r="C403" t="s">
        <v>25</v>
      </c>
      <c r="D403" t="s">
        <v>12</v>
      </c>
      <c r="E403" t="s">
        <v>13</v>
      </c>
      <c r="F403" t="s">
        <v>19</v>
      </c>
      <c r="G403" t="s">
        <v>20</v>
      </c>
      <c r="H403" s="2">
        <v>228.56</v>
      </c>
      <c r="I403">
        <v>15</v>
      </c>
      <c r="J403" s="2">
        <v>3428.4</v>
      </c>
    </row>
    <row r="404" spans="1:10" x14ac:dyDescent="0.25">
      <c r="A404" t="s">
        <v>440</v>
      </c>
      <c r="B404" s="16">
        <v>45715</v>
      </c>
      <c r="C404" t="s">
        <v>25</v>
      </c>
      <c r="D404" t="s">
        <v>55</v>
      </c>
      <c r="E404" t="s">
        <v>23</v>
      </c>
      <c r="F404" t="s">
        <v>42</v>
      </c>
      <c r="G404" t="s">
        <v>20</v>
      </c>
      <c r="H404" s="2">
        <v>141.16</v>
      </c>
      <c r="I404">
        <v>2</v>
      </c>
      <c r="J404" s="2">
        <v>282.32</v>
      </c>
    </row>
    <row r="405" spans="1:10" x14ac:dyDescent="0.25">
      <c r="A405" t="s">
        <v>441</v>
      </c>
      <c r="B405" s="16">
        <v>45734</v>
      </c>
      <c r="C405" t="s">
        <v>34</v>
      </c>
      <c r="D405" t="s">
        <v>55</v>
      </c>
      <c r="E405" t="s">
        <v>41</v>
      </c>
      <c r="F405" t="s">
        <v>19</v>
      </c>
      <c r="G405" t="s">
        <v>20</v>
      </c>
      <c r="H405" s="2">
        <v>211.82</v>
      </c>
      <c r="I405">
        <v>6</v>
      </c>
      <c r="J405" s="2">
        <v>1270.92</v>
      </c>
    </row>
    <row r="406" spans="1:10" x14ac:dyDescent="0.25">
      <c r="A406" t="s">
        <v>442</v>
      </c>
      <c r="B406" s="16">
        <v>45763</v>
      </c>
      <c r="C406" t="s">
        <v>38</v>
      </c>
      <c r="D406" t="s">
        <v>22</v>
      </c>
      <c r="E406" t="s">
        <v>18</v>
      </c>
      <c r="F406" t="s">
        <v>61</v>
      </c>
      <c r="G406" t="s">
        <v>15</v>
      </c>
      <c r="H406" s="2">
        <v>100.41</v>
      </c>
      <c r="I406">
        <v>19</v>
      </c>
      <c r="J406" s="2">
        <v>1907.79</v>
      </c>
    </row>
    <row r="407" spans="1:10" x14ac:dyDescent="0.25">
      <c r="A407" t="s">
        <v>443</v>
      </c>
      <c r="B407" s="16">
        <v>45890</v>
      </c>
      <c r="C407" t="s">
        <v>25</v>
      </c>
      <c r="D407" t="s">
        <v>31</v>
      </c>
      <c r="E407" t="s">
        <v>41</v>
      </c>
      <c r="F407" t="s">
        <v>42</v>
      </c>
      <c r="G407" t="s">
        <v>15</v>
      </c>
      <c r="H407" s="2">
        <v>227.02</v>
      </c>
      <c r="I407">
        <v>5</v>
      </c>
      <c r="J407" s="2">
        <v>1135.0999999999999</v>
      </c>
    </row>
    <row r="408" spans="1:10" x14ac:dyDescent="0.25">
      <c r="A408" t="s">
        <v>444</v>
      </c>
      <c r="B408" s="16">
        <v>45944</v>
      </c>
      <c r="C408" t="s">
        <v>17</v>
      </c>
      <c r="D408" t="s">
        <v>35</v>
      </c>
      <c r="E408" t="s">
        <v>27</v>
      </c>
      <c r="F408" t="s">
        <v>19</v>
      </c>
      <c r="G408" t="s">
        <v>36</v>
      </c>
      <c r="H408" s="2">
        <v>115.62</v>
      </c>
      <c r="I408">
        <v>15</v>
      </c>
      <c r="J408" s="2">
        <v>1734.3</v>
      </c>
    </row>
    <row r="409" spans="1:10" x14ac:dyDescent="0.25">
      <c r="A409" t="s">
        <v>445</v>
      </c>
      <c r="B409" s="16">
        <v>45788</v>
      </c>
      <c r="C409" t="s">
        <v>17</v>
      </c>
      <c r="D409" t="s">
        <v>26</v>
      </c>
      <c r="E409" t="s">
        <v>18</v>
      </c>
      <c r="F409" t="s">
        <v>19</v>
      </c>
      <c r="G409" t="s">
        <v>15</v>
      </c>
      <c r="H409" s="2">
        <v>32.380000000000003</v>
      </c>
      <c r="I409">
        <v>1</v>
      </c>
      <c r="J409" s="2">
        <v>32.380000000000003</v>
      </c>
    </row>
    <row r="410" spans="1:10" x14ac:dyDescent="0.25">
      <c r="A410" t="s">
        <v>446</v>
      </c>
      <c r="B410" s="16">
        <v>45874</v>
      </c>
      <c r="C410" t="s">
        <v>17</v>
      </c>
      <c r="D410" t="s">
        <v>22</v>
      </c>
      <c r="E410" t="s">
        <v>18</v>
      </c>
      <c r="F410" t="s">
        <v>19</v>
      </c>
      <c r="G410" t="s">
        <v>15</v>
      </c>
      <c r="H410" s="2">
        <v>229.18</v>
      </c>
      <c r="I410">
        <v>12</v>
      </c>
      <c r="J410" s="2">
        <v>2750.16</v>
      </c>
    </row>
    <row r="411" spans="1:10" x14ac:dyDescent="0.25">
      <c r="A411" t="s">
        <v>447</v>
      </c>
      <c r="B411" s="16">
        <v>45899</v>
      </c>
      <c r="C411" t="s">
        <v>34</v>
      </c>
      <c r="D411" t="s">
        <v>31</v>
      </c>
      <c r="E411" t="s">
        <v>23</v>
      </c>
      <c r="F411" t="s">
        <v>39</v>
      </c>
      <c r="G411" t="s">
        <v>15</v>
      </c>
      <c r="H411" s="2">
        <v>50.08</v>
      </c>
      <c r="I411">
        <v>2</v>
      </c>
      <c r="J411" s="2">
        <v>100.16</v>
      </c>
    </row>
    <row r="412" spans="1:10" x14ac:dyDescent="0.25">
      <c r="A412" t="s">
        <v>448</v>
      </c>
      <c r="B412" s="16">
        <v>45986</v>
      </c>
      <c r="C412" t="s">
        <v>34</v>
      </c>
      <c r="D412" t="s">
        <v>31</v>
      </c>
      <c r="E412" t="s">
        <v>41</v>
      </c>
      <c r="F412" t="s">
        <v>39</v>
      </c>
      <c r="G412" t="s">
        <v>36</v>
      </c>
      <c r="H412" s="2">
        <v>100.25</v>
      </c>
      <c r="I412">
        <v>14</v>
      </c>
      <c r="J412" s="2">
        <v>1403.5</v>
      </c>
    </row>
    <row r="413" spans="1:10" x14ac:dyDescent="0.25">
      <c r="A413" t="s">
        <v>449</v>
      </c>
      <c r="B413" s="16">
        <v>45850</v>
      </c>
      <c r="C413" t="s">
        <v>17</v>
      </c>
      <c r="D413" t="s">
        <v>12</v>
      </c>
      <c r="E413" t="s">
        <v>18</v>
      </c>
      <c r="F413" t="s">
        <v>14</v>
      </c>
      <c r="G413" t="s">
        <v>20</v>
      </c>
      <c r="H413" s="2">
        <v>239.01</v>
      </c>
      <c r="I413">
        <v>3</v>
      </c>
      <c r="J413" s="2">
        <v>717.03</v>
      </c>
    </row>
    <row r="414" spans="1:10" x14ac:dyDescent="0.25">
      <c r="A414" t="s">
        <v>450</v>
      </c>
      <c r="B414" s="16">
        <v>45836</v>
      </c>
      <c r="C414" t="s">
        <v>30</v>
      </c>
      <c r="D414" t="s">
        <v>55</v>
      </c>
      <c r="E414" t="s">
        <v>41</v>
      </c>
      <c r="F414" t="s">
        <v>42</v>
      </c>
      <c r="G414" t="s">
        <v>15</v>
      </c>
      <c r="H414" s="2">
        <v>239.13</v>
      </c>
      <c r="I414">
        <v>4</v>
      </c>
      <c r="J414" s="2">
        <v>956.52</v>
      </c>
    </row>
    <row r="415" spans="1:10" x14ac:dyDescent="0.25">
      <c r="A415" t="s">
        <v>451</v>
      </c>
      <c r="B415" s="16">
        <v>45772</v>
      </c>
      <c r="C415" t="s">
        <v>11</v>
      </c>
      <c r="D415" t="s">
        <v>35</v>
      </c>
      <c r="E415" t="s">
        <v>41</v>
      </c>
      <c r="F415" t="s">
        <v>28</v>
      </c>
      <c r="G415" t="s">
        <v>20</v>
      </c>
      <c r="H415" s="2">
        <v>156.16</v>
      </c>
      <c r="I415">
        <v>1</v>
      </c>
      <c r="J415" s="2">
        <v>156.16</v>
      </c>
    </row>
    <row r="416" spans="1:10" x14ac:dyDescent="0.25">
      <c r="A416" t="s">
        <v>452</v>
      </c>
      <c r="B416" s="16">
        <v>45936</v>
      </c>
      <c r="C416" t="s">
        <v>25</v>
      </c>
      <c r="D416" t="s">
        <v>31</v>
      </c>
      <c r="E416" t="s">
        <v>23</v>
      </c>
      <c r="F416" t="s">
        <v>14</v>
      </c>
      <c r="G416" t="s">
        <v>36</v>
      </c>
      <c r="H416" s="2">
        <v>169</v>
      </c>
      <c r="I416">
        <v>14</v>
      </c>
      <c r="J416" s="2">
        <v>2366</v>
      </c>
    </row>
    <row r="417" spans="1:10" x14ac:dyDescent="0.25">
      <c r="A417" t="s">
        <v>453</v>
      </c>
      <c r="B417" s="16">
        <v>45835</v>
      </c>
      <c r="C417" t="s">
        <v>34</v>
      </c>
      <c r="D417" t="s">
        <v>26</v>
      </c>
      <c r="E417" t="s">
        <v>27</v>
      </c>
      <c r="F417" t="s">
        <v>39</v>
      </c>
      <c r="G417" t="s">
        <v>15</v>
      </c>
      <c r="H417" s="2">
        <v>128.66</v>
      </c>
      <c r="I417">
        <v>5</v>
      </c>
      <c r="J417" s="2">
        <v>643.29999999999995</v>
      </c>
    </row>
    <row r="418" spans="1:10" x14ac:dyDescent="0.25">
      <c r="A418" t="s">
        <v>454</v>
      </c>
      <c r="B418" s="16">
        <v>45674</v>
      </c>
      <c r="C418" t="s">
        <v>25</v>
      </c>
      <c r="D418" t="s">
        <v>22</v>
      </c>
      <c r="E418" t="s">
        <v>23</v>
      </c>
      <c r="F418" t="s">
        <v>14</v>
      </c>
      <c r="G418" t="s">
        <v>15</v>
      </c>
      <c r="H418" s="2">
        <v>94.51</v>
      </c>
      <c r="I418">
        <v>14</v>
      </c>
      <c r="J418" s="2">
        <v>1323.14</v>
      </c>
    </row>
    <row r="419" spans="1:10" x14ac:dyDescent="0.25">
      <c r="A419" t="s">
        <v>455</v>
      </c>
      <c r="B419" s="16">
        <v>45709</v>
      </c>
      <c r="C419" t="s">
        <v>11</v>
      </c>
      <c r="D419" t="s">
        <v>31</v>
      </c>
      <c r="E419" t="s">
        <v>18</v>
      </c>
      <c r="F419" t="s">
        <v>28</v>
      </c>
      <c r="G419" t="s">
        <v>20</v>
      </c>
      <c r="H419" s="2">
        <v>102.31</v>
      </c>
      <c r="I419">
        <v>20</v>
      </c>
      <c r="J419" s="2">
        <v>2046.2</v>
      </c>
    </row>
    <row r="420" spans="1:10" x14ac:dyDescent="0.25">
      <c r="A420" t="s">
        <v>456</v>
      </c>
      <c r="B420" s="16">
        <v>45682</v>
      </c>
      <c r="C420" t="s">
        <v>17</v>
      </c>
      <c r="D420" t="s">
        <v>22</v>
      </c>
      <c r="E420" t="s">
        <v>41</v>
      </c>
      <c r="F420" t="s">
        <v>61</v>
      </c>
      <c r="G420" t="s">
        <v>15</v>
      </c>
      <c r="H420" s="2">
        <v>177.95</v>
      </c>
      <c r="I420">
        <v>8</v>
      </c>
      <c r="J420" s="2">
        <v>1423.6</v>
      </c>
    </row>
    <row r="421" spans="1:10" x14ac:dyDescent="0.25">
      <c r="A421" t="s">
        <v>457</v>
      </c>
      <c r="B421" s="16">
        <v>45934</v>
      </c>
      <c r="C421" t="s">
        <v>11</v>
      </c>
      <c r="D421" t="s">
        <v>26</v>
      </c>
      <c r="E421" t="s">
        <v>18</v>
      </c>
      <c r="F421" t="s">
        <v>32</v>
      </c>
      <c r="G421" t="s">
        <v>15</v>
      </c>
      <c r="H421" s="2">
        <v>195.52</v>
      </c>
      <c r="I421">
        <v>7</v>
      </c>
      <c r="J421" s="2">
        <v>1368.64</v>
      </c>
    </row>
    <row r="422" spans="1:10" x14ac:dyDescent="0.25">
      <c r="A422" t="s">
        <v>458</v>
      </c>
      <c r="B422" s="16">
        <v>45952</v>
      </c>
      <c r="C422" t="s">
        <v>25</v>
      </c>
      <c r="D422" t="s">
        <v>55</v>
      </c>
      <c r="E422" t="s">
        <v>27</v>
      </c>
      <c r="F422" t="s">
        <v>39</v>
      </c>
      <c r="G422" t="s">
        <v>36</v>
      </c>
      <c r="H422" s="2">
        <v>204.15</v>
      </c>
      <c r="I422">
        <v>11</v>
      </c>
      <c r="J422" s="2">
        <v>2245.65</v>
      </c>
    </row>
    <row r="423" spans="1:10" x14ac:dyDescent="0.25">
      <c r="A423" t="s">
        <v>459</v>
      </c>
      <c r="B423" s="16">
        <v>45779</v>
      </c>
      <c r="C423" t="s">
        <v>30</v>
      </c>
      <c r="D423" t="s">
        <v>12</v>
      </c>
      <c r="E423" t="s">
        <v>18</v>
      </c>
      <c r="F423" t="s">
        <v>14</v>
      </c>
      <c r="G423" t="s">
        <v>36</v>
      </c>
      <c r="H423" s="2">
        <v>203.72</v>
      </c>
      <c r="I423">
        <v>10</v>
      </c>
      <c r="J423" s="2">
        <v>2037.2</v>
      </c>
    </row>
    <row r="424" spans="1:10" x14ac:dyDescent="0.25">
      <c r="A424" t="s">
        <v>460</v>
      </c>
      <c r="B424" s="16">
        <v>45811</v>
      </c>
      <c r="C424" t="s">
        <v>11</v>
      </c>
      <c r="D424" t="s">
        <v>55</v>
      </c>
      <c r="E424" t="s">
        <v>18</v>
      </c>
      <c r="F424" t="s">
        <v>28</v>
      </c>
      <c r="G424" t="s">
        <v>15</v>
      </c>
      <c r="H424" s="2">
        <v>50.07</v>
      </c>
      <c r="I424">
        <v>9</v>
      </c>
      <c r="J424" s="2">
        <v>450.63</v>
      </c>
    </row>
    <row r="425" spans="1:10" x14ac:dyDescent="0.25">
      <c r="A425" t="s">
        <v>461</v>
      </c>
      <c r="B425" s="16">
        <v>45978</v>
      </c>
      <c r="C425" t="s">
        <v>25</v>
      </c>
      <c r="D425" t="s">
        <v>31</v>
      </c>
      <c r="E425" t="s">
        <v>45</v>
      </c>
      <c r="F425" t="s">
        <v>32</v>
      </c>
      <c r="G425" t="s">
        <v>20</v>
      </c>
      <c r="H425" s="2">
        <v>138.77000000000001</v>
      </c>
      <c r="I425">
        <v>14</v>
      </c>
      <c r="J425" s="2">
        <v>1942.78</v>
      </c>
    </row>
    <row r="426" spans="1:10" x14ac:dyDescent="0.25">
      <c r="A426" t="s">
        <v>462</v>
      </c>
      <c r="B426" s="16">
        <v>46001</v>
      </c>
      <c r="C426" t="s">
        <v>25</v>
      </c>
      <c r="D426" t="s">
        <v>35</v>
      </c>
      <c r="E426" t="s">
        <v>27</v>
      </c>
      <c r="F426" t="s">
        <v>61</v>
      </c>
      <c r="G426" t="s">
        <v>36</v>
      </c>
      <c r="H426" s="2">
        <v>42.66</v>
      </c>
      <c r="I426">
        <v>13</v>
      </c>
      <c r="J426" s="2">
        <v>554.58000000000004</v>
      </c>
    </row>
    <row r="427" spans="1:10" x14ac:dyDescent="0.25">
      <c r="A427" t="s">
        <v>463</v>
      </c>
      <c r="B427" s="16">
        <v>45734</v>
      </c>
      <c r="C427" t="s">
        <v>38</v>
      </c>
      <c r="D427" t="s">
        <v>26</v>
      </c>
      <c r="E427" t="s">
        <v>18</v>
      </c>
      <c r="F427" t="s">
        <v>61</v>
      </c>
      <c r="G427" t="s">
        <v>15</v>
      </c>
      <c r="H427" s="2">
        <v>150.9</v>
      </c>
      <c r="I427">
        <v>10</v>
      </c>
      <c r="J427" s="2">
        <v>1509</v>
      </c>
    </row>
    <row r="428" spans="1:10" x14ac:dyDescent="0.25">
      <c r="A428" t="s">
        <v>464</v>
      </c>
      <c r="B428" s="16">
        <v>45773</v>
      </c>
      <c r="C428" t="s">
        <v>17</v>
      </c>
      <c r="D428" t="s">
        <v>26</v>
      </c>
      <c r="E428" t="s">
        <v>41</v>
      </c>
      <c r="F428" t="s">
        <v>19</v>
      </c>
      <c r="G428" t="s">
        <v>20</v>
      </c>
      <c r="H428" s="2">
        <v>127.14</v>
      </c>
      <c r="I428">
        <v>10</v>
      </c>
      <c r="J428" s="2">
        <v>1271.4000000000001</v>
      </c>
    </row>
    <row r="429" spans="1:10" x14ac:dyDescent="0.25">
      <c r="A429" t="s">
        <v>465</v>
      </c>
      <c r="B429" s="16">
        <v>45869</v>
      </c>
      <c r="C429" t="s">
        <v>25</v>
      </c>
      <c r="D429" t="s">
        <v>55</v>
      </c>
      <c r="E429" t="s">
        <v>23</v>
      </c>
      <c r="F429" t="s">
        <v>61</v>
      </c>
      <c r="G429" t="s">
        <v>15</v>
      </c>
      <c r="H429" s="2">
        <v>225.29</v>
      </c>
      <c r="I429">
        <v>14</v>
      </c>
      <c r="J429" s="2">
        <v>3154.06</v>
      </c>
    </row>
    <row r="430" spans="1:10" x14ac:dyDescent="0.25">
      <c r="A430" t="s">
        <v>466</v>
      </c>
      <c r="B430" s="16">
        <v>45788</v>
      </c>
      <c r="C430" t="s">
        <v>34</v>
      </c>
      <c r="D430" t="s">
        <v>12</v>
      </c>
      <c r="E430" t="s">
        <v>45</v>
      </c>
      <c r="F430" t="s">
        <v>61</v>
      </c>
      <c r="G430" t="s">
        <v>36</v>
      </c>
      <c r="H430" s="2">
        <v>107.2</v>
      </c>
      <c r="I430">
        <v>7</v>
      </c>
      <c r="J430" s="2">
        <v>750.4</v>
      </c>
    </row>
    <row r="431" spans="1:10" x14ac:dyDescent="0.25">
      <c r="A431" t="s">
        <v>467</v>
      </c>
      <c r="B431" s="16">
        <v>45705</v>
      </c>
      <c r="C431" t="s">
        <v>17</v>
      </c>
      <c r="D431" t="s">
        <v>26</v>
      </c>
      <c r="E431" t="s">
        <v>45</v>
      </c>
      <c r="F431" t="s">
        <v>32</v>
      </c>
      <c r="G431" t="s">
        <v>36</v>
      </c>
      <c r="H431" s="2">
        <v>55.75</v>
      </c>
      <c r="I431">
        <v>18</v>
      </c>
      <c r="J431" s="2">
        <v>1003.5</v>
      </c>
    </row>
    <row r="432" spans="1:10" x14ac:dyDescent="0.25">
      <c r="A432" t="s">
        <v>468</v>
      </c>
      <c r="B432" s="16">
        <v>46002</v>
      </c>
      <c r="C432" t="s">
        <v>25</v>
      </c>
      <c r="D432" t="s">
        <v>22</v>
      </c>
      <c r="E432" t="s">
        <v>45</v>
      </c>
      <c r="F432" t="s">
        <v>14</v>
      </c>
      <c r="G432" t="s">
        <v>20</v>
      </c>
      <c r="H432" s="2">
        <v>61.46</v>
      </c>
      <c r="I432">
        <v>20</v>
      </c>
      <c r="J432" s="2">
        <v>1229.2</v>
      </c>
    </row>
    <row r="433" spans="1:10" x14ac:dyDescent="0.25">
      <c r="A433" t="s">
        <v>469</v>
      </c>
      <c r="B433" s="16">
        <v>46001</v>
      </c>
      <c r="C433" t="s">
        <v>30</v>
      </c>
      <c r="D433" t="s">
        <v>31</v>
      </c>
      <c r="E433" t="s">
        <v>23</v>
      </c>
      <c r="F433" t="s">
        <v>39</v>
      </c>
      <c r="G433" t="s">
        <v>36</v>
      </c>
      <c r="H433" s="2">
        <v>197.53</v>
      </c>
      <c r="I433">
        <v>18</v>
      </c>
      <c r="J433" s="2">
        <v>3555.54</v>
      </c>
    </row>
    <row r="434" spans="1:10" x14ac:dyDescent="0.25">
      <c r="A434" t="s">
        <v>470</v>
      </c>
      <c r="B434" s="16">
        <v>45813</v>
      </c>
      <c r="C434" t="s">
        <v>30</v>
      </c>
      <c r="D434" t="s">
        <v>26</v>
      </c>
      <c r="E434" t="s">
        <v>27</v>
      </c>
      <c r="F434" t="s">
        <v>19</v>
      </c>
      <c r="G434" t="s">
        <v>20</v>
      </c>
      <c r="H434" s="2">
        <v>166.01</v>
      </c>
      <c r="I434">
        <v>1</v>
      </c>
      <c r="J434" s="2">
        <v>166.01</v>
      </c>
    </row>
    <row r="435" spans="1:10" x14ac:dyDescent="0.25">
      <c r="A435" t="s">
        <v>471</v>
      </c>
      <c r="B435" s="16">
        <v>45903</v>
      </c>
      <c r="C435" t="s">
        <v>17</v>
      </c>
      <c r="D435" t="s">
        <v>55</v>
      </c>
      <c r="E435" t="s">
        <v>27</v>
      </c>
      <c r="F435" t="s">
        <v>14</v>
      </c>
      <c r="G435" t="s">
        <v>36</v>
      </c>
      <c r="H435" s="2">
        <v>52.25</v>
      </c>
      <c r="I435">
        <v>8</v>
      </c>
      <c r="J435" s="2">
        <v>418</v>
      </c>
    </row>
    <row r="436" spans="1:10" x14ac:dyDescent="0.25">
      <c r="A436" t="s">
        <v>472</v>
      </c>
      <c r="B436" s="16">
        <v>45780</v>
      </c>
      <c r="C436" t="s">
        <v>34</v>
      </c>
      <c r="D436" t="s">
        <v>35</v>
      </c>
      <c r="E436" t="s">
        <v>41</v>
      </c>
      <c r="F436" t="s">
        <v>61</v>
      </c>
      <c r="G436" t="s">
        <v>20</v>
      </c>
      <c r="H436" s="2">
        <v>48.5</v>
      </c>
      <c r="I436">
        <v>18</v>
      </c>
      <c r="J436" s="2">
        <v>873</v>
      </c>
    </row>
    <row r="437" spans="1:10" x14ac:dyDescent="0.25">
      <c r="A437" t="s">
        <v>473</v>
      </c>
      <c r="B437" s="16">
        <v>45990</v>
      </c>
      <c r="C437" t="s">
        <v>34</v>
      </c>
      <c r="D437" t="s">
        <v>35</v>
      </c>
      <c r="E437" t="s">
        <v>13</v>
      </c>
      <c r="F437" t="s">
        <v>42</v>
      </c>
      <c r="G437" t="s">
        <v>36</v>
      </c>
      <c r="H437" s="2">
        <v>184.21</v>
      </c>
      <c r="I437">
        <v>12</v>
      </c>
      <c r="J437" s="2">
        <v>2210.52</v>
      </c>
    </row>
    <row r="438" spans="1:10" x14ac:dyDescent="0.25">
      <c r="A438" t="s">
        <v>474</v>
      </c>
      <c r="B438" s="16">
        <v>45896</v>
      </c>
      <c r="C438" t="s">
        <v>17</v>
      </c>
      <c r="D438" t="s">
        <v>31</v>
      </c>
      <c r="E438" t="s">
        <v>13</v>
      </c>
      <c r="F438" t="s">
        <v>14</v>
      </c>
      <c r="G438" t="s">
        <v>36</v>
      </c>
      <c r="H438" s="2">
        <v>46.01</v>
      </c>
      <c r="I438">
        <v>4</v>
      </c>
      <c r="J438" s="2">
        <v>184.04</v>
      </c>
    </row>
    <row r="439" spans="1:10" x14ac:dyDescent="0.25">
      <c r="A439" t="s">
        <v>475</v>
      </c>
      <c r="B439" s="16">
        <v>45818</v>
      </c>
      <c r="C439" t="s">
        <v>11</v>
      </c>
      <c r="D439" t="s">
        <v>55</v>
      </c>
      <c r="E439" t="s">
        <v>23</v>
      </c>
      <c r="F439" t="s">
        <v>28</v>
      </c>
      <c r="G439" t="s">
        <v>15</v>
      </c>
      <c r="H439" s="2">
        <v>210.81</v>
      </c>
      <c r="I439">
        <v>14</v>
      </c>
      <c r="J439" s="2">
        <v>2951.34</v>
      </c>
    </row>
    <row r="440" spans="1:10" x14ac:dyDescent="0.25">
      <c r="A440" t="s">
        <v>476</v>
      </c>
      <c r="B440" s="16">
        <v>45666</v>
      </c>
      <c r="C440" t="s">
        <v>25</v>
      </c>
      <c r="D440" t="s">
        <v>55</v>
      </c>
      <c r="E440" t="s">
        <v>18</v>
      </c>
      <c r="F440" t="s">
        <v>28</v>
      </c>
      <c r="G440" t="s">
        <v>36</v>
      </c>
      <c r="H440" s="2">
        <v>185.37</v>
      </c>
      <c r="I440">
        <v>9</v>
      </c>
      <c r="J440" s="2">
        <v>1668.33</v>
      </c>
    </row>
    <row r="441" spans="1:10" x14ac:dyDescent="0.25">
      <c r="A441" t="s">
        <v>477</v>
      </c>
      <c r="B441" s="16">
        <v>45809</v>
      </c>
      <c r="C441" t="s">
        <v>30</v>
      </c>
      <c r="D441" t="s">
        <v>35</v>
      </c>
      <c r="E441" t="s">
        <v>23</v>
      </c>
      <c r="F441" t="s">
        <v>61</v>
      </c>
      <c r="G441" t="s">
        <v>20</v>
      </c>
      <c r="H441" s="2">
        <v>47.9</v>
      </c>
      <c r="I441">
        <v>5</v>
      </c>
      <c r="J441" s="2">
        <v>239.5</v>
      </c>
    </row>
    <row r="442" spans="1:10" x14ac:dyDescent="0.25">
      <c r="A442" t="s">
        <v>478</v>
      </c>
      <c r="B442" s="16">
        <v>45783</v>
      </c>
      <c r="C442" t="s">
        <v>25</v>
      </c>
      <c r="D442" t="s">
        <v>12</v>
      </c>
      <c r="E442" t="s">
        <v>27</v>
      </c>
      <c r="F442" t="s">
        <v>32</v>
      </c>
      <c r="G442" t="s">
        <v>36</v>
      </c>
      <c r="H442" s="2">
        <v>48.66</v>
      </c>
      <c r="I442">
        <v>16</v>
      </c>
      <c r="J442" s="2">
        <v>778.56</v>
      </c>
    </row>
    <row r="443" spans="1:10" x14ac:dyDescent="0.25">
      <c r="A443" t="s">
        <v>479</v>
      </c>
      <c r="B443" s="16">
        <v>45908</v>
      </c>
      <c r="C443" t="s">
        <v>38</v>
      </c>
      <c r="D443" t="s">
        <v>26</v>
      </c>
      <c r="E443" t="s">
        <v>27</v>
      </c>
      <c r="F443" t="s">
        <v>39</v>
      </c>
      <c r="G443" t="s">
        <v>36</v>
      </c>
      <c r="H443" s="2">
        <v>247.06</v>
      </c>
      <c r="I443">
        <v>16</v>
      </c>
      <c r="J443" s="2">
        <v>3952.96</v>
      </c>
    </row>
    <row r="444" spans="1:10" x14ac:dyDescent="0.25">
      <c r="A444" t="s">
        <v>480</v>
      </c>
      <c r="B444" s="16">
        <v>45744</v>
      </c>
      <c r="C444" t="s">
        <v>17</v>
      </c>
      <c r="D444" t="s">
        <v>55</v>
      </c>
      <c r="E444" t="s">
        <v>41</v>
      </c>
      <c r="F444" t="s">
        <v>14</v>
      </c>
      <c r="G444" t="s">
        <v>20</v>
      </c>
      <c r="H444" s="2">
        <v>112.34</v>
      </c>
      <c r="I444">
        <v>5</v>
      </c>
      <c r="J444" s="2">
        <v>561.70000000000005</v>
      </c>
    </row>
    <row r="445" spans="1:10" x14ac:dyDescent="0.25">
      <c r="A445" t="s">
        <v>481</v>
      </c>
      <c r="B445" s="16">
        <v>45986</v>
      </c>
      <c r="C445" t="s">
        <v>25</v>
      </c>
      <c r="D445" t="s">
        <v>22</v>
      </c>
      <c r="E445" t="s">
        <v>45</v>
      </c>
      <c r="F445" t="s">
        <v>39</v>
      </c>
      <c r="G445" t="s">
        <v>20</v>
      </c>
      <c r="H445" s="2">
        <v>111.54</v>
      </c>
      <c r="I445">
        <v>2</v>
      </c>
      <c r="J445" s="2">
        <v>223.08</v>
      </c>
    </row>
    <row r="446" spans="1:10" x14ac:dyDescent="0.25">
      <c r="A446" t="s">
        <v>482</v>
      </c>
      <c r="B446" s="16">
        <v>45682</v>
      </c>
      <c r="C446" t="s">
        <v>38</v>
      </c>
      <c r="D446" t="s">
        <v>26</v>
      </c>
      <c r="E446" t="s">
        <v>27</v>
      </c>
      <c r="F446" t="s">
        <v>14</v>
      </c>
      <c r="G446" t="s">
        <v>15</v>
      </c>
      <c r="H446" s="2">
        <v>208.82</v>
      </c>
      <c r="I446">
        <v>1</v>
      </c>
      <c r="J446" s="2">
        <v>208.82</v>
      </c>
    </row>
    <row r="447" spans="1:10" x14ac:dyDescent="0.25">
      <c r="A447" t="s">
        <v>483</v>
      </c>
      <c r="B447" s="16">
        <v>46020</v>
      </c>
      <c r="C447" t="s">
        <v>11</v>
      </c>
      <c r="D447" t="s">
        <v>26</v>
      </c>
      <c r="E447" t="s">
        <v>18</v>
      </c>
      <c r="F447" t="s">
        <v>61</v>
      </c>
      <c r="G447" t="s">
        <v>36</v>
      </c>
      <c r="H447" s="2">
        <v>238.39</v>
      </c>
      <c r="I447">
        <v>5</v>
      </c>
      <c r="J447" s="2">
        <v>1191.95</v>
      </c>
    </row>
    <row r="448" spans="1:10" x14ac:dyDescent="0.25">
      <c r="A448" t="s">
        <v>484</v>
      </c>
      <c r="B448" s="16">
        <v>45688</v>
      </c>
      <c r="C448" t="s">
        <v>17</v>
      </c>
      <c r="D448" t="s">
        <v>12</v>
      </c>
      <c r="E448" t="s">
        <v>18</v>
      </c>
      <c r="F448" t="s">
        <v>61</v>
      </c>
      <c r="G448" t="s">
        <v>20</v>
      </c>
      <c r="H448" s="2">
        <v>246.92</v>
      </c>
      <c r="I448">
        <v>20</v>
      </c>
      <c r="J448" s="2">
        <v>4938.3999999999996</v>
      </c>
    </row>
    <row r="449" spans="1:10" x14ac:dyDescent="0.25">
      <c r="A449" t="s">
        <v>485</v>
      </c>
      <c r="B449" s="16">
        <v>45907</v>
      </c>
      <c r="C449" t="s">
        <v>11</v>
      </c>
      <c r="D449" t="s">
        <v>55</v>
      </c>
      <c r="E449" t="s">
        <v>18</v>
      </c>
      <c r="F449" t="s">
        <v>61</v>
      </c>
      <c r="G449" t="s">
        <v>15</v>
      </c>
      <c r="H449" s="2">
        <v>195.74</v>
      </c>
      <c r="I449">
        <v>1</v>
      </c>
      <c r="J449" s="2">
        <v>195.74</v>
      </c>
    </row>
    <row r="450" spans="1:10" x14ac:dyDescent="0.25">
      <c r="A450" t="s">
        <v>486</v>
      </c>
      <c r="B450" s="16">
        <v>45666</v>
      </c>
      <c r="C450" t="s">
        <v>17</v>
      </c>
      <c r="D450" t="s">
        <v>35</v>
      </c>
      <c r="E450" t="s">
        <v>18</v>
      </c>
      <c r="F450" t="s">
        <v>32</v>
      </c>
      <c r="G450" t="s">
        <v>15</v>
      </c>
      <c r="H450" s="2">
        <v>112.78</v>
      </c>
      <c r="I450">
        <v>17</v>
      </c>
      <c r="J450" s="2">
        <v>1917.26</v>
      </c>
    </row>
    <row r="451" spans="1:10" x14ac:dyDescent="0.25">
      <c r="A451" t="s">
        <v>487</v>
      </c>
      <c r="B451" s="16">
        <v>45915</v>
      </c>
      <c r="C451" t="s">
        <v>30</v>
      </c>
      <c r="D451" t="s">
        <v>22</v>
      </c>
      <c r="E451" t="s">
        <v>45</v>
      </c>
      <c r="F451" t="s">
        <v>42</v>
      </c>
      <c r="G451" t="s">
        <v>15</v>
      </c>
      <c r="H451" s="2">
        <v>48.37</v>
      </c>
      <c r="I451">
        <v>14</v>
      </c>
      <c r="J451" s="2">
        <v>677.18</v>
      </c>
    </row>
    <row r="452" spans="1:10" x14ac:dyDescent="0.25">
      <c r="A452" t="s">
        <v>488</v>
      </c>
      <c r="B452" s="16">
        <v>45781</v>
      </c>
      <c r="C452" t="s">
        <v>25</v>
      </c>
      <c r="D452" t="s">
        <v>55</v>
      </c>
      <c r="E452" t="s">
        <v>13</v>
      </c>
      <c r="F452" t="s">
        <v>39</v>
      </c>
      <c r="G452" t="s">
        <v>36</v>
      </c>
      <c r="H452" s="2">
        <v>200.97</v>
      </c>
      <c r="I452">
        <v>7</v>
      </c>
      <c r="J452" s="2">
        <v>1406.79</v>
      </c>
    </row>
    <row r="453" spans="1:10" x14ac:dyDescent="0.25">
      <c r="A453" t="s">
        <v>489</v>
      </c>
      <c r="B453" s="16">
        <v>45794</v>
      </c>
      <c r="C453" t="s">
        <v>11</v>
      </c>
      <c r="D453" t="s">
        <v>35</v>
      </c>
      <c r="E453" t="s">
        <v>41</v>
      </c>
      <c r="F453" t="s">
        <v>61</v>
      </c>
      <c r="G453" t="s">
        <v>20</v>
      </c>
      <c r="H453" s="2">
        <v>152.85</v>
      </c>
      <c r="I453">
        <v>13</v>
      </c>
      <c r="J453" s="2">
        <v>1987.05</v>
      </c>
    </row>
    <row r="454" spans="1:10" x14ac:dyDescent="0.25">
      <c r="A454" t="s">
        <v>490</v>
      </c>
      <c r="B454" s="16">
        <v>45782</v>
      </c>
      <c r="C454" t="s">
        <v>34</v>
      </c>
      <c r="D454" t="s">
        <v>12</v>
      </c>
      <c r="E454" t="s">
        <v>45</v>
      </c>
      <c r="F454" t="s">
        <v>28</v>
      </c>
      <c r="G454" t="s">
        <v>20</v>
      </c>
      <c r="H454" s="2">
        <v>123.33</v>
      </c>
      <c r="I454">
        <v>8</v>
      </c>
      <c r="J454" s="2">
        <v>986.64</v>
      </c>
    </row>
    <row r="455" spans="1:10" x14ac:dyDescent="0.25">
      <c r="A455" t="s">
        <v>491</v>
      </c>
      <c r="B455" s="16">
        <v>45674</v>
      </c>
      <c r="C455" t="s">
        <v>38</v>
      </c>
      <c r="D455" t="s">
        <v>31</v>
      </c>
      <c r="E455" t="s">
        <v>41</v>
      </c>
      <c r="F455" t="s">
        <v>42</v>
      </c>
      <c r="G455" t="s">
        <v>36</v>
      </c>
      <c r="H455" s="2">
        <v>229.4</v>
      </c>
      <c r="I455">
        <v>3</v>
      </c>
      <c r="J455" s="2">
        <v>688.2</v>
      </c>
    </row>
    <row r="456" spans="1:10" x14ac:dyDescent="0.25">
      <c r="A456" t="s">
        <v>492</v>
      </c>
      <c r="B456" s="16">
        <v>45686</v>
      </c>
      <c r="C456" t="s">
        <v>17</v>
      </c>
      <c r="D456" t="s">
        <v>26</v>
      </c>
      <c r="E456" t="s">
        <v>45</v>
      </c>
      <c r="F456" t="s">
        <v>61</v>
      </c>
      <c r="G456" t="s">
        <v>36</v>
      </c>
      <c r="H456" s="2">
        <v>54.46</v>
      </c>
      <c r="I456">
        <v>1</v>
      </c>
      <c r="J456" s="2">
        <v>54.46</v>
      </c>
    </row>
    <row r="457" spans="1:10" x14ac:dyDescent="0.25">
      <c r="A457" t="s">
        <v>493</v>
      </c>
      <c r="B457" s="16">
        <v>45988</v>
      </c>
      <c r="C457" t="s">
        <v>25</v>
      </c>
      <c r="D457" t="s">
        <v>22</v>
      </c>
      <c r="E457" t="s">
        <v>18</v>
      </c>
      <c r="F457" t="s">
        <v>19</v>
      </c>
      <c r="G457" t="s">
        <v>15</v>
      </c>
      <c r="H457" s="2">
        <v>138.38</v>
      </c>
      <c r="I457">
        <v>11</v>
      </c>
      <c r="J457" s="2">
        <v>1522.18</v>
      </c>
    </row>
    <row r="458" spans="1:10" x14ac:dyDescent="0.25">
      <c r="A458" t="s">
        <v>494</v>
      </c>
      <c r="B458" s="16">
        <v>45766</v>
      </c>
      <c r="C458" t="s">
        <v>38</v>
      </c>
      <c r="D458" t="s">
        <v>35</v>
      </c>
      <c r="E458" t="s">
        <v>45</v>
      </c>
      <c r="F458" t="s">
        <v>19</v>
      </c>
      <c r="G458" t="s">
        <v>20</v>
      </c>
      <c r="H458" s="2">
        <v>32.5</v>
      </c>
      <c r="I458">
        <v>19</v>
      </c>
      <c r="J458" s="2">
        <v>617.5</v>
      </c>
    </row>
    <row r="459" spans="1:10" x14ac:dyDescent="0.25">
      <c r="A459" t="s">
        <v>495</v>
      </c>
      <c r="B459" s="16">
        <v>45801</v>
      </c>
      <c r="C459" t="s">
        <v>25</v>
      </c>
      <c r="D459" t="s">
        <v>12</v>
      </c>
      <c r="E459" t="s">
        <v>45</v>
      </c>
      <c r="F459" t="s">
        <v>14</v>
      </c>
      <c r="G459" t="s">
        <v>36</v>
      </c>
      <c r="H459" s="2">
        <v>133.11000000000001</v>
      </c>
      <c r="I459">
        <v>18</v>
      </c>
      <c r="J459" s="2">
        <v>2395.98</v>
      </c>
    </row>
    <row r="460" spans="1:10" x14ac:dyDescent="0.25">
      <c r="A460" t="s">
        <v>496</v>
      </c>
      <c r="B460" s="16">
        <v>45666</v>
      </c>
      <c r="C460" t="s">
        <v>25</v>
      </c>
      <c r="D460" t="s">
        <v>26</v>
      </c>
      <c r="E460" t="s">
        <v>27</v>
      </c>
      <c r="F460" t="s">
        <v>39</v>
      </c>
      <c r="G460" t="s">
        <v>36</v>
      </c>
      <c r="H460" s="2">
        <v>42.39</v>
      </c>
      <c r="I460">
        <v>7</v>
      </c>
      <c r="J460" s="2">
        <v>296.73</v>
      </c>
    </row>
    <row r="461" spans="1:10" x14ac:dyDescent="0.25">
      <c r="A461" t="s">
        <v>497</v>
      </c>
      <c r="B461" s="16">
        <v>45697</v>
      </c>
      <c r="C461" t="s">
        <v>30</v>
      </c>
      <c r="D461" t="s">
        <v>55</v>
      </c>
      <c r="E461" t="s">
        <v>23</v>
      </c>
      <c r="F461" t="s">
        <v>42</v>
      </c>
      <c r="G461" t="s">
        <v>36</v>
      </c>
      <c r="H461" s="2">
        <v>56.14</v>
      </c>
      <c r="I461">
        <v>10</v>
      </c>
      <c r="J461" s="2">
        <v>561.4</v>
      </c>
    </row>
    <row r="462" spans="1:10" x14ac:dyDescent="0.25">
      <c r="A462" t="s">
        <v>498</v>
      </c>
      <c r="B462" s="16">
        <v>46004</v>
      </c>
      <c r="C462" t="s">
        <v>34</v>
      </c>
      <c r="D462" t="s">
        <v>31</v>
      </c>
      <c r="E462" t="s">
        <v>27</v>
      </c>
      <c r="F462" t="s">
        <v>14</v>
      </c>
      <c r="G462" t="s">
        <v>20</v>
      </c>
      <c r="H462" s="2">
        <v>55.86</v>
      </c>
      <c r="I462">
        <v>18</v>
      </c>
      <c r="J462" s="2">
        <v>1005.48</v>
      </c>
    </row>
    <row r="463" spans="1:10" x14ac:dyDescent="0.25">
      <c r="A463" t="s">
        <v>499</v>
      </c>
      <c r="B463" s="16">
        <v>45698</v>
      </c>
      <c r="C463" t="s">
        <v>17</v>
      </c>
      <c r="D463" t="s">
        <v>35</v>
      </c>
      <c r="E463" t="s">
        <v>45</v>
      </c>
      <c r="F463" t="s">
        <v>19</v>
      </c>
      <c r="G463" t="s">
        <v>36</v>
      </c>
      <c r="H463" s="2">
        <v>172.83</v>
      </c>
      <c r="I463">
        <v>17</v>
      </c>
      <c r="J463" s="2">
        <v>2938.11</v>
      </c>
    </row>
    <row r="464" spans="1:10" x14ac:dyDescent="0.25">
      <c r="A464" t="s">
        <v>500</v>
      </c>
      <c r="B464" s="16">
        <v>45776</v>
      </c>
      <c r="C464" t="s">
        <v>34</v>
      </c>
      <c r="D464" t="s">
        <v>55</v>
      </c>
      <c r="E464" t="s">
        <v>18</v>
      </c>
      <c r="F464" t="s">
        <v>42</v>
      </c>
      <c r="G464" t="s">
        <v>36</v>
      </c>
      <c r="H464" s="2">
        <v>194.13</v>
      </c>
      <c r="I464">
        <v>3</v>
      </c>
      <c r="J464" s="2">
        <v>582.39</v>
      </c>
    </row>
    <row r="465" spans="1:10" x14ac:dyDescent="0.25">
      <c r="A465" t="s">
        <v>501</v>
      </c>
      <c r="B465" s="16">
        <v>45825</v>
      </c>
      <c r="C465" t="s">
        <v>17</v>
      </c>
      <c r="D465" t="s">
        <v>35</v>
      </c>
      <c r="E465" t="s">
        <v>41</v>
      </c>
      <c r="F465" t="s">
        <v>61</v>
      </c>
      <c r="G465" t="s">
        <v>15</v>
      </c>
      <c r="H465" s="2">
        <v>158.34</v>
      </c>
      <c r="I465">
        <v>1</v>
      </c>
      <c r="J465" s="2">
        <v>158.34</v>
      </c>
    </row>
    <row r="466" spans="1:10" x14ac:dyDescent="0.25">
      <c r="A466" t="s">
        <v>502</v>
      </c>
      <c r="B466" s="16">
        <v>45840</v>
      </c>
      <c r="C466" t="s">
        <v>38</v>
      </c>
      <c r="D466" t="s">
        <v>31</v>
      </c>
      <c r="E466" t="s">
        <v>23</v>
      </c>
      <c r="F466" t="s">
        <v>28</v>
      </c>
      <c r="G466" t="s">
        <v>20</v>
      </c>
      <c r="H466" s="2">
        <v>241.68</v>
      </c>
      <c r="I466">
        <v>18</v>
      </c>
      <c r="J466" s="2">
        <v>4350.24</v>
      </c>
    </row>
    <row r="467" spans="1:10" x14ac:dyDescent="0.25">
      <c r="A467" t="s">
        <v>503</v>
      </c>
      <c r="B467" s="16">
        <v>45996</v>
      </c>
      <c r="C467" t="s">
        <v>11</v>
      </c>
      <c r="D467" t="s">
        <v>55</v>
      </c>
      <c r="E467" t="s">
        <v>13</v>
      </c>
      <c r="F467" t="s">
        <v>39</v>
      </c>
      <c r="G467" t="s">
        <v>15</v>
      </c>
      <c r="H467" s="2">
        <v>112.47</v>
      </c>
      <c r="I467">
        <v>13</v>
      </c>
      <c r="J467" s="2">
        <v>1462.11</v>
      </c>
    </row>
    <row r="468" spans="1:10" x14ac:dyDescent="0.25">
      <c r="A468" t="s">
        <v>504</v>
      </c>
      <c r="B468" s="16">
        <v>45695</v>
      </c>
      <c r="C468" t="s">
        <v>34</v>
      </c>
      <c r="D468" t="s">
        <v>26</v>
      </c>
      <c r="E468" t="s">
        <v>41</v>
      </c>
      <c r="F468" t="s">
        <v>28</v>
      </c>
      <c r="G468" t="s">
        <v>20</v>
      </c>
      <c r="H468" s="2">
        <v>92.86</v>
      </c>
      <c r="I468">
        <v>3</v>
      </c>
      <c r="J468" s="2">
        <v>278.58</v>
      </c>
    </row>
    <row r="469" spans="1:10" x14ac:dyDescent="0.25">
      <c r="A469" t="s">
        <v>505</v>
      </c>
      <c r="B469" s="16">
        <v>45736</v>
      </c>
      <c r="C469" t="s">
        <v>34</v>
      </c>
      <c r="D469" t="s">
        <v>35</v>
      </c>
      <c r="E469" t="s">
        <v>45</v>
      </c>
      <c r="F469" t="s">
        <v>19</v>
      </c>
      <c r="G469" t="s">
        <v>15</v>
      </c>
      <c r="H469" s="2">
        <v>221.09</v>
      </c>
      <c r="I469">
        <v>13</v>
      </c>
      <c r="J469" s="2">
        <v>2874.17</v>
      </c>
    </row>
    <row r="470" spans="1:10" x14ac:dyDescent="0.25">
      <c r="A470" t="s">
        <v>506</v>
      </c>
      <c r="B470" s="16">
        <v>45815</v>
      </c>
      <c r="C470" t="s">
        <v>34</v>
      </c>
      <c r="D470" t="s">
        <v>35</v>
      </c>
      <c r="E470" t="s">
        <v>45</v>
      </c>
      <c r="F470" t="s">
        <v>14</v>
      </c>
      <c r="G470" t="s">
        <v>15</v>
      </c>
      <c r="H470" s="2">
        <v>79.19</v>
      </c>
      <c r="I470">
        <v>15</v>
      </c>
      <c r="J470" s="2">
        <v>1187.8499999999999</v>
      </c>
    </row>
    <row r="471" spans="1:10" x14ac:dyDescent="0.25">
      <c r="A471" t="s">
        <v>507</v>
      </c>
      <c r="B471" s="16">
        <v>45753</v>
      </c>
      <c r="C471" t="s">
        <v>38</v>
      </c>
      <c r="D471" t="s">
        <v>55</v>
      </c>
      <c r="E471" t="s">
        <v>18</v>
      </c>
      <c r="F471" t="s">
        <v>42</v>
      </c>
      <c r="G471" t="s">
        <v>36</v>
      </c>
      <c r="H471" s="2">
        <v>241.91</v>
      </c>
      <c r="I471">
        <v>14</v>
      </c>
      <c r="J471" s="2">
        <v>3386.74</v>
      </c>
    </row>
    <row r="472" spans="1:10" x14ac:dyDescent="0.25">
      <c r="A472" t="s">
        <v>508</v>
      </c>
      <c r="B472" s="16">
        <v>45710</v>
      </c>
      <c r="C472" t="s">
        <v>11</v>
      </c>
      <c r="D472" t="s">
        <v>35</v>
      </c>
      <c r="E472" t="s">
        <v>18</v>
      </c>
      <c r="F472" t="s">
        <v>19</v>
      </c>
      <c r="G472" t="s">
        <v>20</v>
      </c>
      <c r="H472" s="2">
        <v>32.67</v>
      </c>
      <c r="I472">
        <v>1</v>
      </c>
      <c r="J472" s="2">
        <v>32.67</v>
      </c>
    </row>
    <row r="473" spans="1:10" x14ac:dyDescent="0.25">
      <c r="A473" t="s">
        <v>509</v>
      </c>
      <c r="B473" s="16">
        <v>45964</v>
      </c>
      <c r="C473" t="s">
        <v>38</v>
      </c>
      <c r="D473" t="s">
        <v>22</v>
      </c>
      <c r="E473" t="s">
        <v>13</v>
      </c>
      <c r="F473" t="s">
        <v>61</v>
      </c>
      <c r="G473" t="s">
        <v>36</v>
      </c>
      <c r="H473" s="2">
        <v>243.37</v>
      </c>
      <c r="I473">
        <v>11</v>
      </c>
      <c r="J473" s="2">
        <v>2677.07</v>
      </c>
    </row>
    <row r="474" spans="1:10" x14ac:dyDescent="0.25">
      <c r="A474" t="s">
        <v>510</v>
      </c>
      <c r="B474" s="16">
        <v>45701</v>
      </c>
      <c r="C474" t="s">
        <v>30</v>
      </c>
      <c r="D474" t="s">
        <v>55</v>
      </c>
      <c r="E474" t="s">
        <v>18</v>
      </c>
      <c r="F474" t="s">
        <v>14</v>
      </c>
      <c r="G474" t="s">
        <v>20</v>
      </c>
      <c r="H474" s="2">
        <v>39.5</v>
      </c>
      <c r="I474">
        <v>18</v>
      </c>
      <c r="J474" s="2">
        <v>711</v>
      </c>
    </row>
    <row r="475" spans="1:10" x14ac:dyDescent="0.25">
      <c r="A475" t="s">
        <v>511</v>
      </c>
      <c r="B475" s="16">
        <v>45852</v>
      </c>
      <c r="C475" t="s">
        <v>30</v>
      </c>
      <c r="D475" t="s">
        <v>35</v>
      </c>
      <c r="E475" t="s">
        <v>13</v>
      </c>
      <c r="F475" t="s">
        <v>32</v>
      </c>
      <c r="G475" t="s">
        <v>36</v>
      </c>
      <c r="H475" s="2">
        <v>226.05</v>
      </c>
      <c r="I475">
        <v>6</v>
      </c>
      <c r="J475" s="2">
        <v>1356.3</v>
      </c>
    </row>
    <row r="476" spans="1:10" x14ac:dyDescent="0.25">
      <c r="A476" t="s">
        <v>512</v>
      </c>
      <c r="B476" s="16">
        <v>45732</v>
      </c>
      <c r="C476" t="s">
        <v>30</v>
      </c>
      <c r="D476" t="s">
        <v>31</v>
      </c>
      <c r="E476" t="s">
        <v>13</v>
      </c>
      <c r="F476" t="s">
        <v>61</v>
      </c>
      <c r="G476" t="s">
        <v>36</v>
      </c>
      <c r="H476" s="2">
        <v>146.09</v>
      </c>
      <c r="I476">
        <v>3</v>
      </c>
      <c r="J476" s="2">
        <v>438.27</v>
      </c>
    </row>
    <row r="477" spans="1:10" x14ac:dyDescent="0.25">
      <c r="A477" t="s">
        <v>513</v>
      </c>
      <c r="B477" s="16">
        <v>45905</v>
      </c>
      <c r="C477" t="s">
        <v>34</v>
      </c>
      <c r="D477" t="s">
        <v>35</v>
      </c>
      <c r="E477" t="s">
        <v>23</v>
      </c>
      <c r="F477" t="s">
        <v>28</v>
      </c>
      <c r="G477" t="s">
        <v>20</v>
      </c>
      <c r="H477" s="2">
        <v>248.45</v>
      </c>
      <c r="I477">
        <v>3</v>
      </c>
      <c r="J477" s="2">
        <v>745.35</v>
      </c>
    </row>
    <row r="478" spans="1:10" x14ac:dyDescent="0.25">
      <c r="A478" t="s">
        <v>514</v>
      </c>
      <c r="B478" s="16">
        <v>45911</v>
      </c>
      <c r="C478" t="s">
        <v>25</v>
      </c>
      <c r="D478" t="s">
        <v>26</v>
      </c>
      <c r="E478" t="s">
        <v>41</v>
      </c>
      <c r="F478" t="s">
        <v>19</v>
      </c>
      <c r="G478" t="s">
        <v>15</v>
      </c>
      <c r="H478" s="2">
        <v>46.24</v>
      </c>
      <c r="I478">
        <v>20</v>
      </c>
      <c r="J478" s="2">
        <v>924.8</v>
      </c>
    </row>
    <row r="479" spans="1:10" x14ac:dyDescent="0.25">
      <c r="A479" t="s">
        <v>515</v>
      </c>
      <c r="B479" s="16">
        <v>45813</v>
      </c>
      <c r="C479" t="s">
        <v>38</v>
      </c>
      <c r="D479" t="s">
        <v>35</v>
      </c>
      <c r="E479" t="s">
        <v>18</v>
      </c>
      <c r="F479" t="s">
        <v>61</v>
      </c>
      <c r="G479" t="s">
        <v>36</v>
      </c>
      <c r="H479" s="2">
        <v>151.85</v>
      </c>
      <c r="I479">
        <v>1</v>
      </c>
      <c r="J479" s="2">
        <v>151.85</v>
      </c>
    </row>
    <row r="480" spans="1:10" x14ac:dyDescent="0.25">
      <c r="A480" t="s">
        <v>516</v>
      </c>
      <c r="B480" s="16">
        <v>45883</v>
      </c>
      <c r="C480" t="s">
        <v>38</v>
      </c>
      <c r="D480" t="s">
        <v>12</v>
      </c>
      <c r="E480" t="s">
        <v>18</v>
      </c>
      <c r="F480" t="s">
        <v>14</v>
      </c>
      <c r="G480" t="s">
        <v>36</v>
      </c>
      <c r="H480" s="2">
        <v>243.25</v>
      </c>
      <c r="I480">
        <v>11</v>
      </c>
      <c r="J480" s="2">
        <v>2675.75</v>
      </c>
    </row>
    <row r="481" spans="1:10" x14ac:dyDescent="0.25">
      <c r="A481" t="s">
        <v>517</v>
      </c>
      <c r="B481" s="16">
        <v>45822</v>
      </c>
      <c r="C481" t="s">
        <v>17</v>
      </c>
      <c r="D481" t="s">
        <v>26</v>
      </c>
      <c r="E481" t="s">
        <v>41</v>
      </c>
      <c r="F481" t="s">
        <v>32</v>
      </c>
      <c r="G481" t="s">
        <v>15</v>
      </c>
      <c r="H481" s="2">
        <v>145.08000000000001</v>
      </c>
      <c r="I481">
        <v>20</v>
      </c>
      <c r="J481" s="2">
        <v>2901.6</v>
      </c>
    </row>
    <row r="482" spans="1:10" x14ac:dyDescent="0.25">
      <c r="A482" t="s">
        <v>518</v>
      </c>
      <c r="B482" s="16">
        <v>45861</v>
      </c>
      <c r="C482" t="s">
        <v>34</v>
      </c>
      <c r="D482" t="s">
        <v>12</v>
      </c>
      <c r="E482" t="s">
        <v>27</v>
      </c>
      <c r="F482" t="s">
        <v>28</v>
      </c>
      <c r="G482" t="s">
        <v>36</v>
      </c>
      <c r="H482" s="2">
        <v>168.47</v>
      </c>
      <c r="I482">
        <v>11</v>
      </c>
      <c r="J482" s="2">
        <v>1853.17</v>
      </c>
    </row>
    <row r="483" spans="1:10" x14ac:dyDescent="0.25">
      <c r="A483" t="s">
        <v>519</v>
      </c>
      <c r="B483" s="16">
        <v>45952</v>
      </c>
      <c r="C483" t="s">
        <v>34</v>
      </c>
      <c r="D483" t="s">
        <v>31</v>
      </c>
      <c r="E483" t="s">
        <v>13</v>
      </c>
      <c r="F483" t="s">
        <v>39</v>
      </c>
      <c r="G483" t="s">
        <v>36</v>
      </c>
      <c r="H483" s="2">
        <v>183.06</v>
      </c>
      <c r="I483">
        <v>8</v>
      </c>
      <c r="J483" s="2">
        <v>1464.48</v>
      </c>
    </row>
    <row r="484" spans="1:10" x14ac:dyDescent="0.25">
      <c r="A484" t="s">
        <v>520</v>
      </c>
      <c r="B484" s="16">
        <v>45844</v>
      </c>
      <c r="C484" t="s">
        <v>25</v>
      </c>
      <c r="D484" t="s">
        <v>26</v>
      </c>
      <c r="E484" t="s">
        <v>18</v>
      </c>
      <c r="F484" t="s">
        <v>42</v>
      </c>
      <c r="G484" t="s">
        <v>15</v>
      </c>
      <c r="H484" s="2">
        <v>130</v>
      </c>
      <c r="I484">
        <v>4</v>
      </c>
      <c r="J484" s="2">
        <v>520</v>
      </c>
    </row>
    <row r="485" spans="1:10" x14ac:dyDescent="0.25">
      <c r="A485" t="s">
        <v>521</v>
      </c>
      <c r="B485" s="16">
        <v>46007</v>
      </c>
      <c r="C485" t="s">
        <v>11</v>
      </c>
      <c r="D485" t="s">
        <v>12</v>
      </c>
      <c r="E485" t="s">
        <v>41</v>
      </c>
      <c r="F485" t="s">
        <v>28</v>
      </c>
      <c r="G485" t="s">
        <v>15</v>
      </c>
      <c r="H485" s="2">
        <v>168.06</v>
      </c>
      <c r="I485">
        <v>18</v>
      </c>
      <c r="J485" s="2">
        <v>3025.08</v>
      </c>
    </row>
    <row r="486" spans="1:10" x14ac:dyDescent="0.25">
      <c r="A486" t="s">
        <v>522</v>
      </c>
      <c r="B486" s="16">
        <v>45882</v>
      </c>
      <c r="C486" t="s">
        <v>17</v>
      </c>
      <c r="D486" t="s">
        <v>22</v>
      </c>
      <c r="E486" t="s">
        <v>41</v>
      </c>
      <c r="F486" t="s">
        <v>28</v>
      </c>
      <c r="G486" t="s">
        <v>36</v>
      </c>
      <c r="H486" s="2">
        <v>158.55000000000001</v>
      </c>
      <c r="I486">
        <v>10</v>
      </c>
      <c r="J486" s="2">
        <v>1585.5</v>
      </c>
    </row>
    <row r="487" spans="1:10" x14ac:dyDescent="0.25">
      <c r="A487" t="s">
        <v>523</v>
      </c>
      <c r="B487" s="16">
        <v>45729</v>
      </c>
      <c r="C487" t="s">
        <v>30</v>
      </c>
      <c r="D487" t="s">
        <v>35</v>
      </c>
      <c r="E487" t="s">
        <v>27</v>
      </c>
      <c r="F487" t="s">
        <v>14</v>
      </c>
      <c r="G487" t="s">
        <v>20</v>
      </c>
      <c r="H487" s="2">
        <v>228.25</v>
      </c>
      <c r="I487">
        <v>10</v>
      </c>
      <c r="J487" s="2">
        <v>2282.5</v>
      </c>
    </row>
    <row r="488" spans="1:10" x14ac:dyDescent="0.25">
      <c r="A488" t="s">
        <v>524</v>
      </c>
      <c r="B488" s="16">
        <v>45874</v>
      </c>
      <c r="C488" t="s">
        <v>11</v>
      </c>
      <c r="D488" t="s">
        <v>31</v>
      </c>
      <c r="E488" t="s">
        <v>18</v>
      </c>
      <c r="F488" t="s">
        <v>61</v>
      </c>
      <c r="G488" t="s">
        <v>20</v>
      </c>
      <c r="H488" s="2">
        <v>40</v>
      </c>
      <c r="I488">
        <v>13</v>
      </c>
      <c r="J488" s="2">
        <v>520</v>
      </c>
    </row>
    <row r="489" spans="1:10" x14ac:dyDescent="0.25">
      <c r="A489" t="s">
        <v>525</v>
      </c>
      <c r="B489" s="16">
        <v>45863</v>
      </c>
      <c r="C489" t="s">
        <v>25</v>
      </c>
      <c r="D489" t="s">
        <v>12</v>
      </c>
      <c r="E489" t="s">
        <v>41</v>
      </c>
      <c r="F489" t="s">
        <v>42</v>
      </c>
      <c r="G489" t="s">
        <v>15</v>
      </c>
      <c r="H489" s="2">
        <v>91.81</v>
      </c>
      <c r="I489">
        <v>18</v>
      </c>
      <c r="J489" s="2">
        <v>1652.58</v>
      </c>
    </row>
    <row r="490" spans="1:10" x14ac:dyDescent="0.25">
      <c r="A490" t="s">
        <v>526</v>
      </c>
      <c r="B490" s="16">
        <v>45842</v>
      </c>
      <c r="C490" t="s">
        <v>25</v>
      </c>
      <c r="D490" t="s">
        <v>12</v>
      </c>
      <c r="E490" t="s">
        <v>45</v>
      </c>
      <c r="F490" t="s">
        <v>19</v>
      </c>
      <c r="G490" t="s">
        <v>15</v>
      </c>
      <c r="H490" s="2">
        <v>239.09</v>
      </c>
      <c r="I490">
        <v>18</v>
      </c>
      <c r="J490" s="2">
        <v>4303.62</v>
      </c>
    </row>
    <row r="491" spans="1:10" x14ac:dyDescent="0.25">
      <c r="A491" t="s">
        <v>527</v>
      </c>
      <c r="B491" s="16">
        <v>45994</v>
      </c>
      <c r="C491" t="s">
        <v>30</v>
      </c>
      <c r="D491" t="s">
        <v>12</v>
      </c>
      <c r="E491" t="s">
        <v>18</v>
      </c>
      <c r="F491" t="s">
        <v>19</v>
      </c>
      <c r="G491" t="s">
        <v>20</v>
      </c>
      <c r="H491" s="2">
        <v>225.86</v>
      </c>
      <c r="I491">
        <v>12</v>
      </c>
      <c r="J491" s="2">
        <v>2710.32</v>
      </c>
    </row>
    <row r="492" spans="1:10" x14ac:dyDescent="0.25">
      <c r="A492" t="s">
        <v>528</v>
      </c>
      <c r="B492" s="16">
        <v>45988</v>
      </c>
      <c r="C492" t="s">
        <v>34</v>
      </c>
      <c r="D492" t="s">
        <v>31</v>
      </c>
      <c r="E492" t="s">
        <v>45</v>
      </c>
      <c r="F492" t="s">
        <v>19</v>
      </c>
      <c r="G492" t="s">
        <v>15</v>
      </c>
      <c r="H492" s="2">
        <v>130.24</v>
      </c>
      <c r="I492">
        <v>13</v>
      </c>
      <c r="J492" s="2">
        <v>1693.12</v>
      </c>
    </row>
    <row r="493" spans="1:10" x14ac:dyDescent="0.25">
      <c r="A493" t="s">
        <v>529</v>
      </c>
      <c r="B493" s="16">
        <v>45790</v>
      </c>
      <c r="C493" t="s">
        <v>25</v>
      </c>
      <c r="D493" t="s">
        <v>12</v>
      </c>
      <c r="E493" t="s">
        <v>18</v>
      </c>
      <c r="F493" t="s">
        <v>42</v>
      </c>
      <c r="G493" t="s">
        <v>20</v>
      </c>
      <c r="H493" s="2">
        <v>166.43</v>
      </c>
      <c r="I493">
        <v>8</v>
      </c>
      <c r="J493" s="2">
        <v>1331.44</v>
      </c>
    </row>
    <row r="494" spans="1:10" x14ac:dyDescent="0.25">
      <c r="A494" t="s">
        <v>530</v>
      </c>
      <c r="B494" s="16">
        <v>46010</v>
      </c>
      <c r="C494" t="s">
        <v>30</v>
      </c>
      <c r="D494" t="s">
        <v>31</v>
      </c>
      <c r="E494" t="s">
        <v>13</v>
      </c>
      <c r="F494" t="s">
        <v>61</v>
      </c>
      <c r="G494" t="s">
        <v>36</v>
      </c>
      <c r="H494" s="2">
        <v>91.02</v>
      </c>
      <c r="I494">
        <v>19</v>
      </c>
      <c r="J494" s="2">
        <v>1729.38</v>
      </c>
    </row>
    <row r="495" spans="1:10" x14ac:dyDescent="0.25">
      <c r="A495" t="s">
        <v>531</v>
      </c>
      <c r="B495" s="16">
        <v>46005</v>
      </c>
      <c r="C495" t="s">
        <v>17</v>
      </c>
      <c r="D495" t="s">
        <v>55</v>
      </c>
      <c r="E495" t="s">
        <v>23</v>
      </c>
      <c r="F495" t="s">
        <v>32</v>
      </c>
      <c r="G495" t="s">
        <v>15</v>
      </c>
      <c r="H495" s="2">
        <v>71.39</v>
      </c>
      <c r="I495">
        <v>19</v>
      </c>
      <c r="J495" s="2">
        <v>1356.41</v>
      </c>
    </row>
    <row r="496" spans="1:10" x14ac:dyDescent="0.25">
      <c r="A496" t="s">
        <v>532</v>
      </c>
      <c r="B496" s="16">
        <v>45905</v>
      </c>
      <c r="C496" t="s">
        <v>34</v>
      </c>
      <c r="D496" t="s">
        <v>31</v>
      </c>
      <c r="E496" t="s">
        <v>45</v>
      </c>
      <c r="F496" t="s">
        <v>19</v>
      </c>
      <c r="G496" t="s">
        <v>20</v>
      </c>
      <c r="H496" s="2">
        <v>132.01</v>
      </c>
      <c r="I496">
        <v>4</v>
      </c>
      <c r="J496" s="2">
        <v>528.04</v>
      </c>
    </row>
    <row r="497" spans="1:10" x14ac:dyDescent="0.25">
      <c r="A497" t="s">
        <v>533</v>
      </c>
      <c r="B497" s="16">
        <v>45730</v>
      </c>
      <c r="C497" t="s">
        <v>34</v>
      </c>
      <c r="D497" t="s">
        <v>35</v>
      </c>
      <c r="E497" t="s">
        <v>41</v>
      </c>
      <c r="F497" t="s">
        <v>39</v>
      </c>
      <c r="G497" t="s">
        <v>15</v>
      </c>
      <c r="H497" s="2">
        <v>107.74</v>
      </c>
      <c r="I497">
        <v>12</v>
      </c>
      <c r="J497" s="2">
        <v>1292.8800000000001</v>
      </c>
    </row>
    <row r="498" spans="1:10" x14ac:dyDescent="0.25">
      <c r="A498" t="s">
        <v>534</v>
      </c>
      <c r="B498" s="16">
        <v>45924</v>
      </c>
      <c r="C498" t="s">
        <v>34</v>
      </c>
      <c r="D498" t="s">
        <v>31</v>
      </c>
      <c r="E498" t="s">
        <v>45</v>
      </c>
      <c r="F498" t="s">
        <v>61</v>
      </c>
      <c r="G498" t="s">
        <v>20</v>
      </c>
      <c r="H498" s="2">
        <v>158.4</v>
      </c>
      <c r="I498">
        <v>16</v>
      </c>
      <c r="J498" s="2">
        <v>2534.4</v>
      </c>
    </row>
    <row r="499" spans="1:10" x14ac:dyDescent="0.25">
      <c r="A499" t="s">
        <v>535</v>
      </c>
      <c r="B499" s="16">
        <v>46014</v>
      </c>
      <c r="C499" t="s">
        <v>34</v>
      </c>
      <c r="D499" t="s">
        <v>22</v>
      </c>
      <c r="E499" t="s">
        <v>13</v>
      </c>
      <c r="F499" t="s">
        <v>19</v>
      </c>
      <c r="G499" t="s">
        <v>20</v>
      </c>
      <c r="H499" s="2">
        <v>47.1</v>
      </c>
      <c r="I499">
        <v>15</v>
      </c>
      <c r="J499" s="2">
        <v>706.5</v>
      </c>
    </row>
    <row r="500" spans="1:10" x14ac:dyDescent="0.25">
      <c r="A500" t="s">
        <v>536</v>
      </c>
      <c r="B500" s="16">
        <v>45716</v>
      </c>
      <c r="C500" t="s">
        <v>34</v>
      </c>
      <c r="D500" t="s">
        <v>12</v>
      </c>
      <c r="E500" t="s">
        <v>45</v>
      </c>
      <c r="F500" t="s">
        <v>28</v>
      </c>
      <c r="G500" t="s">
        <v>15</v>
      </c>
      <c r="H500" s="2">
        <v>244.37</v>
      </c>
      <c r="I500">
        <v>1</v>
      </c>
      <c r="J500" s="2">
        <v>244.37</v>
      </c>
    </row>
    <row r="501" spans="1:10" x14ac:dyDescent="0.25">
      <c r="A501" t="s">
        <v>531</v>
      </c>
      <c r="B501" s="16">
        <v>46005</v>
      </c>
      <c r="C501" t="s">
        <v>17</v>
      </c>
      <c r="D501" t="s">
        <v>55</v>
      </c>
      <c r="E501" t="s">
        <v>23</v>
      </c>
      <c r="F501" t="s">
        <v>32</v>
      </c>
      <c r="G501" t="s">
        <v>15</v>
      </c>
      <c r="H501" s="2">
        <v>71.39</v>
      </c>
      <c r="I501">
        <v>19</v>
      </c>
      <c r="J501" s="2">
        <v>1356.41</v>
      </c>
    </row>
    <row r="502" spans="1:10" x14ac:dyDescent="0.25">
      <c r="A502" t="s">
        <v>532</v>
      </c>
      <c r="B502" s="16">
        <v>45905</v>
      </c>
      <c r="C502" t="s">
        <v>34</v>
      </c>
      <c r="D502" t="s">
        <v>31</v>
      </c>
      <c r="E502" t="s">
        <v>45</v>
      </c>
      <c r="F502" t="s">
        <v>19</v>
      </c>
      <c r="G502" t="s">
        <v>20</v>
      </c>
      <c r="H502" s="2">
        <v>132.01</v>
      </c>
      <c r="I502">
        <v>4</v>
      </c>
      <c r="J502" s="2">
        <v>528.04</v>
      </c>
    </row>
    <row r="503" spans="1:10" x14ac:dyDescent="0.25">
      <c r="A503" t="s">
        <v>533</v>
      </c>
      <c r="B503" s="16">
        <v>45730</v>
      </c>
      <c r="C503" t="s">
        <v>34</v>
      </c>
      <c r="D503" t="s">
        <v>35</v>
      </c>
      <c r="E503" t="s">
        <v>41</v>
      </c>
      <c r="F503" t="s">
        <v>39</v>
      </c>
      <c r="G503" t="s">
        <v>15</v>
      </c>
      <c r="H503" s="2">
        <v>107.74</v>
      </c>
      <c r="I503">
        <v>12</v>
      </c>
      <c r="J503" s="2">
        <v>1292.8800000000001</v>
      </c>
    </row>
    <row r="504" spans="1:10" x14ac:dyDescent="0.25">
      <c r="A504" t="s">
        <v>534</v>
      </c>
      <c r="B504" s="16">
        <v>45924</v>
      </c>
      <c r="C504" t="s">
        <v>34</v>
      </c>
      <c r="D504" t="s">
        <v>31</v>
      </c>
      <c r="E504" t="s">
        <v>45</v>
      </c>
      <c r="F504" t="s">
        <v>61</v>
      </c>
      <c r="G504" t="s">
        <v>20</v>
      </c>
      <c r="H504" s="2">
        <v>158.4</v>
      </c>
      <c r="I504">
        <v>16</v>
      </c>
      <c r="J504" s="2">
        <v>2534.4</v>
      </c>
    </row>
    <row r="505" spans="1:10" x14ac:dyDescent="0.25">
      <c r="A505" t="s">
        <v>535</v>
      </c>
      <c r="B505" s="16">
        <v>46014</v>
      </c>
      <c r="C505" t="s">
        <v>34</v>
      </c>
      <c r="D505" t="s">
        <v>22</v>
      </c>
      <c r="E505" t="s">
        <v>13</v>
      </c>
      <c r="F505" t="s">
        <v>19</v>
      </c>
      <c r="G505" t="s">
        <v>20</v>
      </c>
      <c r="H505" s="2">
        <v>47.1</v>
      </c>
      <c r="I505">
        <v>15</v>
      </c>
      <c r="J505" s="2">
        <v>706.5</v>
      </c>
    </row>
    <row r="506" spans="1:10" x14ac:dyDescent="0.25">
      <c r="A506" t="s">
        <v>536</v>
      </c>
      <c r="B506" s="16">
        <v>45716</v>
      </c>
      <c r="C506" t="s">
        <v>34</v>
      </c>
      <c r="D506" t="s">
        <v>12</v>
      </c>
      <c r="E506" t="s">
        <v>45</v>
      </c>
      <c r="F506" t="s">
        <v>28</v>
      </c>
      <c r="G506" t="s">
        <v>15</v>
      </c>
      <c r="H506" s="2">
        <v>244.37</v>
      </c>
      <c r="I506">
        <v>1</v>
      </c>
      <c r="J506" s="2">
        <v>244.37</v>
      </c>
    </row>
    <row r="507" spans="1:10" x14ac:dyDescent="0.25">
      <c r="A507" t="s">
        <v>567</v>
      </c>
      <c r="B507" s="16">
        <v>45782</v>
      </c>
      <c r="C507" t="s">
        <v>30</v>
      </c>
      <c r="D507" t="s">
        <v>55</v>
      </c>
      <c r="E507" t="s">
        <v>23</v>
      </c>
      <c r="F507" t="s">
        <v>32</v>
      </c>
      <c r="G507" t="s">
        <v>20</v>
      </c>
      <c r="H507" s="2">
        <v>246.97</v>
      </c>
      <c r="I507">
        <v>17</v>
      </c>
      <c r="J507" s="2">
        <v>4198.49</v>
      </c>
    </row>
    <row r="508" spans="1:10" x14ac:dyDescent="0.25">
      <c r="A508" t="s">
        <v>568</v>
      </c>
      <c r="B508" s="16">
        <v>45876</v>
      </c>
      <c r="C508" t="s">
        <v>30</v>
      </c>
      <c r="D508" t="s">
        <v>31</v>
      </c>
      <c r="E508" t="s">
        <v>27</v>
      </c>
      <c r="F508" t="s">
        <v>14</v>
      </c>
      <c r="G508" t="s">
        <v>15</v>
      </c>
      <c r="H508" s="2">
        <v>183.6</v>
      </c>
      <c r="I508">
        <v>15</v>
      </c>
      <c r="J508" s="2">
        <v>2754</v>
      </c>
    </row>
    <row r="509" spans="1:10" x14ac:dyDescent="0.25">
      <c r="A509" t="s">
        <v>569</v>
      </c>
      <c r="B509" s="16">
        <v>45985</v>
      </c>
      <c r="C509" t="s">
        <v>38</v>
      </c>
      <c r="D509" t="s">
        <v>22</v>
      </c>
      <c r="E509" t="s">
        <v>27</v>
      </c>
      <c r="F509" t="s">
        <v>42</v>
      </c>
      <c r="G509" t="s">
        <v>15</v>
      </c>
      <c r="H509" s="2">
        <v>147.94</v>
      </c>
      <c r="I509">
        <v>14</v>
      </c>
      <c r="J509" s="2">
        <v>2071.16</v>
      </c>
    </row>
    <row r="510" spans="1:10" x14ac:dyDescent="0.25">
      <c r="A510" t="s">
        <v>570</v>
      </c>
      <c r="B510" s="16">
        <v>45888</v>
      </c>
      <c r="C510" t="s">
        <v>38</v>
      </c>
      <c r="D510" t="s">
        <v>31</v>
      </c>
      <c r="E510" t="s">
        <v>45</v>
      </c>
      <c r="F510" t="s">
        <v>28</v>
      </c>
      <c r="G510" t="s">
        <v>15</v>
      </c>
      <c r="H510" s="2">
        <v>98.1</v>
      </c>
      <c r="I510">
        <v>19</v>
      </c>
      <c r="J510" s="2">
        <v>1863.9</v>
      </c>
    </row>
    <row r="511" spans="1:10" x14ac:dyDescent="0.25">
      <c r="A511" t="s">
        <v>571</v>
      </c>
      <c r="B511" s="16">
        <v>45763</v>
      </c>
      <c r="C511" t="s">
        <v>17</v>
      </c>
      <c r="D511" t="s">
        <v>22</v>
      </c>
      <c r="E511" t="s">
        <v>18</v>
      </c>
      <c r="F511" t="s">
        <v>19</v>
      </c>
      <c r="G511" t="s">
        <v>20</v>
      </c>
      <c r="H511" s="2">
        <v>209.03</v>
      </c>
      <c r="I511">
        <v>9</v>
      </c>
      <c r="J511" s="2">
        <v>1881.27</v>
      </c>
    </row>
    <row r="512" spans="1:10" x14ac:dyDescent="0.25">
      <c r="A512" t="s">
        <v>572</v>
      </c>
      <c r="B512" s="16">
        <v>45753</v>
      </c>
      <c r="C512" t="s">
        <v>34</v>
      </c>
      <c r="D512" t="s">
        <v>26</v>
      </c>
      <c r="E512" t="s">
        <v>41</v>
      </c>
      <c r="F512" t="s">
        <v>19</v>
      </c>
      <c r="G512" t="s">
        <v>36</v>
      </c>
      <c r="H512" s="2">
        <v>180.64</v>
      </c>
      <c r="I512">
        <v>12</v>
      </c>
      <c r="J512" s="2">
        <v>2167.6799999999998</v>
      </c>
    </row>
    <row r="513" spans="1:10" x14ac:dyDescent="0.25">
      <c r="A513" t="s">
        <v>573</v>
      </c>
      <c r="B513" s="16">
        <v>46001</v>
      </c>
      <c r="C513" t="s">
        <v>25</v>
      </c>
      <c r="D513" t="s">
        <v>12</v>
      </c>
      <c r="E513" t="s">
        <v>13</v>
      </c>
      <c r="F513" t="s">
        <v>42</v>
      </c>
      <c r="G513" t="s">
        <v>36</v>
      </c>
      <c r="H513" s="2">
        <v>65.78</v>
      </c>
      <c r="I513">
        <v>16</v>
      </c>
      <c r="J513" s="2">
        <v>1052.48</v>
      </c>
    </row>
    <row r="514" spans="1:10" x14ac:dyDescent="0.25">
      <c r="A514" t="s">
        <v>574</v>
      </c>
      <c r="B514" s="16">
        <v>45970</v>
      </c>
      <c r="C514" t="s">
        <v>25</v>
      </c>
      <c r="D514" t="s">
        <v>22</v>
      </c>
      <c r="E514" t="s">
        <v>13</v>
      </c>
      <c r="F514" t="s">
        <v>32</v>
      </c>
      <c r="G514" t="s">
        <v>36</v>
      </c>
      <c r="H514" s="2">
        <v>230.4</v>
      </c>
      <c r="I514">
        <v>13</v>
      </c>
      <c r="J514" s="2">
        <v>2995.2</v>
      </c>
    </row>
    <row r="515" spans="1:10" x14ac:dyDescent="0.25">
      <c r="A515" t="s">
        <v>575</v>
      </c>
      <c r="B515" s="16">
        <v>45974</v>
      </c>
      <c r="C515" t="s">
        <v>17</v>
      </c>
      <c r="D515" t="s">
        <v>12</v>
      </c>
      <c r="E515" t="s">
        <v>13</v>
      </c>
      <c r="F515" t="s">
        <v>42</v>
      </c>
      <c r="G515" t="s">
        <v>20</v>
      </c>
      <c r="H515" s="2">
        <v>210.96</v>
      </c>
      <c r="I515">
        <v>6</v>
      </c>
      <c r="J515" s="2">
        <v>1265.76</v>
      </c>
    </row>
    <row r="516" spans="1:10" x14ac:dyDescent="0.25">
      <c r="A516" t="s">
        <v>576</v>
      </c>
      <c r="B516" s="16">
        <v>45701</v>
      </c>
      <c r="C516" t="s">
        <v>34</v>
      </c>
      <c r="D516" t="s">
        <v>22</v>
      </c>
      <c r="E516" t="s">
        <v>23</v>
      </c>
      <c r="F516" t="s">
        <v>32</v>
      </c>
      <c r="G516" t="s">
        <v>15</v>
      </c>
      <c r="H516" s="2">
        <v>238.96</v>
      </c>
      <c r="I516">
        <v>5</v>
      </c>
      <c r="J516" s="2">
        <v>1194.8</v>
      </c>
    </row>
    <row r="517" spans="1:10" x14ac:dyDescent="0.25">
      <c r="A517" t="s">
        <v>577</v>
      </c>
      <c r="B517" s="16">
        <v>45751</v>
      </c>
      <c r="C517" t="s">
        <v>17</v>
      </c>
      <c r="D517" t="s">
        <v>26</v>
      </c>
      <c r="E517" t="s">
        <v>18</v>
      </c>
      <c r="F517" t="s">
        <v>61</v>
      </c>
      <c r="G517" t="s">
        <v>36</v>
      </c>
      <c r="H517" s="2">
        <v>189.66</v>
      </c>
      <c r="I517">
        <v>12</v>
      </c>
      <c r="J517" s="2">
        <v>2275.92</v>
      </c>
    </row>
    <row r="518" spans="1:10" x14ac:dyDescent="0.25">
      <c r="A518" t="s">
        <v>578</v>
      </c>
      <c r="B518" s="16">
        <v>45963</v>
      </c>
      <c r="C518" t="s">
        <v>25</v>
      </c>
      <c r="D518" t="s">
        <v>31</v>
      </c>
      <c r="E518" t="s">
        <v>41</v>
      </c>
      <c r="F518" t="s">
        <v>14</v>
      </c>
      <c r="G518" t="s">
        <v>36</v>
      </c>
      <c r="H518" s="2">
        <v>164.95</v>
      </c>
      <c r="I518">
        <v>5</v>
      </c>
      <c r="J518" s="2">
        <v>824.75</v>
      </c>
    </row>
    <row r="519" spans="1:10" x14ac:dyDescent="0.25">
      <c r="A519" t="s">
        <v>579</v>
      </c>
      <c r="B519" s="16">
        <v>45983</v>
      </c>
      <c r="C519" t="s">
        <v>17</v>
      </c>
      <c r="D519" t="s">
        <v>12</v>
      </c>
      <c r="E519" t="s">
        <v>23</v>
      </c>
      <c r="F519" t="s">
        <v>42</v>
      </c>
      <c r="G519" t="s">
        <v>15</v>
      </c>
      <c r="H519" s="2">
        <v>122.01</v>
      </c>
      <c r="I519">
        <v>18</v>
      </c>
      <c r="J519" s="2">
        <v>2196.1799999999998</v>
      </c>
    </row>
    <row r="520" spans="1:10" x14ac:dyDescent="0.25">
      <c r="A520" t="s">
        <v>580</v>
      </c>
      <c r="B520" s="16">
        <v>45908</v>
      </c>
      <c r="C520" t="s">
        <v>30</v>
      </c>
      <c r="D520" t="s">
        <v>26</v>
      </c>
      <c r="E520" t="s">
        <v>13</v>
      </c>
      <c r="F520" t="s">
        <v>39</v>
      </c>
      <c r="G520" t="s">
        <v>36</v>
      </c>
      <c r="H520" s="2">
        <v>235.2</v>
      </c>
      <c r="I520">
        <v>10</v>
      </c>
      <c r="J520" s="2">
        <v>2352</v>
      </c>
    </row>
    <row r="521" spans="1:10" x14ac:dyDescent="0.25">
      <c r="A521" t="s">
        <v>581</v>
      </c>
      <c r="B521" s="16">
        <v>45975</v>
      </c>
      <c r="C521" t="s">
        <v>34</v>
      </c>
      <c r="D521" t="s">
        <v>22</v>
      </c>
      <c r="E521" t="s">
        <v>41</v>
      </c>
      <c r="F521" t="s">
        <v>14</v>
      </c>
      <c r="G521" t="s">
        <v>15</v>
      </c>
      <c r="H521" s="2">
        <v>220.53</v>
      </c>
      <c r="I521">
        <v>2</v>
      </c>
      <c r="J521" s="2">
        <v>441.06</v>
      </c>
    </row>
    <row r="522" spans="1:10" x14ac:dyDescent="0.25">
      <c r="A522" t="s">
        <v>582</v>
      </c>
      <c r="B522" s="16">
        <v>45854</v>
      </c>
      <c r="C522" t="s">
        <v>25</v>
      </c>
      <c r="D522" t="s">
        <v>12</v>
      </c>
      <c r="E522" t="s">
        <v>41</v>
      </c>
      <c r="F522" t="s">
        <v>61</v>
      </c>
      <c r="G522" t="s">
        <v>20</v>
      </c>
      <c r="H522" s="2">
        <v>39.950000000000003</v>
      </c>
      <c r="I522">
        <v>18</v>
      </c>
      <c r="J522" s="2">
        <v>719.1</v>
      </c>
    </row>
    <row r="523" spans="1:10" x14ac:dyDescent="0.25">
      <c r="A523" t="s">
        <v>583</v>
      </c>
      <c r="B523" s="16">
        <v>45909</v>
      </c>
      <c r="C523" t="s">
        <v>17</v>
      </c>
      <c r="D523" t="s">
        <v>31</v>
      </c>
      <c r="E523" t="s">
        <v>41</v>
      </c>
      <c r="F523" t="s">
        <v>14</v>
      </c>
      <c r="G523" t="s">
        <v>15</v>
      </c>
      <c r="H523" s="2">
        <v>35.799999999999997</v>
      </c>
      <c r="I523">
        <v>14</v>
      </c>
      <c r="J523" s="2">
        <v>501.2</v>
      </c>
    </row>
    <row r="524" spans="1:10" x14ac:dyDescent="0.25">
      <c r="A524" t="s">
        <v>584</v>
      </c>
      <c r="B524" s="16">
        <v>45947</v>
      </c>
      <c r="C524" t="s">
        <v>30</v>
      </c>
      <c r="D524" t="s">
        <v>35</v>
      </c>
      <c r="E524" t="s">
        <v>45</v>
      </c>
      <c r="F524" t="s">
        <v>32</v>
      </c>
      <c r="G524" t="s">
        <v>15</v>
      </c>
      <c r="H524" s="2">
        <v>112.82</v>
      </c>
      <c r="I524">
        <v>1</v>
      </c>
      <c r="J524" s="2">
        <v>112.82</v>
      </c>
    </row>
    <row r="525" spans="1:10" x14ac:dyDescent="0.25">
      <c r="A525" t="s">
        <v>585</v>
      </c>
      <c r="B525" s="16">
        <v>45933</v>
      </c>
      <c r="C525" t="s">
        <v>30</v>
      </c>
      <c r="D525" t="s">
        <v>31</v>
      </c>
      <c r="E525" t="s">
        <v>18</v>
      </c>
      <c r="F525" t="s">
        <v>28</v>
      </c>
      <c r="G525" t="s">
        <v>36</v>
      </c>
      <c r="H525" s="2">
        <v>208.32</v>
      </c>
      <c r="I525">
        <v>10</v>
      </c>
      <c r="J525" s="2">
        <v>2083.1999999999998</v>
      </c>
    </row>
    <row r="526" spans="1:10" x14ac:dyDescent="0.25">
      <c r="A526" t="s">
        <v>586</v>
      </c>
      <c r="B526" s="16">
        <v>45939</v>
      </c>
      <c r="C526" t="s">
        <v>11</v>
      </c>
      <c r="D526" t="s">
        <v>55</v>
      </c>
      <c r="E526" t="s">
        <v>45</v>
      </c>
      <c r="F526" t="s">
        <v>32</v>
      </c>
      <c r="G526" t="s">
        <v>20</v>
      </c>
      <c r="H526" s="2">
        <v>247.2</v>
      </c>
      <c r="I526">
        <v>17</v>
      </c>
      <c r="J526" s="2">
        <v>4202.3999999999996</v>
      </c>
    </row>
    <row r="527" spans="1:10" x14ac:dyDescent="0.25">
      <c r="A527" t="s">
        <v>587</v>
      </c>
      <c r="B527" s="16">
        <v>45845</v>
      </c>
      <c r="C527" t="s">
        <v>11</v>
      </c>
      <c r="D527" t="s">
        <v>12</v>
      </c>
      <c r="E527" t="s">
        <v>41</v>
      </c>
      <c r="F527" t="s">
        <v>42</v>
      </c>
      <c r="G527" t="s">
        <v>15</v>
      </c>
      <c r="H527" s="2">
        <v>63.09</v>
      </c>
      <c r="I527">
        <v>18</v>
      </c>
      <c r="J527" s="2">
        <v>1135.6199999999999</v>
      </c>
    </row>
    <row r="528" spans="1:10" x14ac:dyDescent="0.25">
      <c r="A528" t="s">
        <v>588</v>
      </c>
      <c r="B528" s="16">
        <v>45875</v>
      </c>
      <c r="C528" t="s">
        <v>17</v>
      </c>
      <c r="D528" t="s">
        <v>12</v>
      </c>
      <c r="E528" t="s">
        <v>23</v>
      </c>
      <c r="F528" t="s">
        <v>32</v>
      </c>
      <c r="G528" t="s">
        <v>15</v>
      </c>
      <c r="H528" s="2">
        <v>160.71</v>
      </c>
      <c r="I528">
        <v>4</v>
      </c>
      <c r="J528" s="2">
        <v>642.84</v>
      </c>
    </row>
    <row r="529" spans="1:10" x14ac:dyDescent="0.25">
      <c r="A529" t="s">
        <v>589</v>
      </c>
      <c r="B529" s="16">
        <v>45888</v>
      </c>
      <c r="C529" t="s">
        <v>34</v>
      </c>
      <c r="D529" t="s">
        <v>22</v>
      </c>
      <c r="E529" t="s">
        <v>41</v>
      </c>
      <c r="F529" t="s">
        <v>39</v>
      </c>
      <c r="G529" t="s">
        <v>15</v>
      </c>
      <c r="H529" s="2">
        <v>113.8</v>
      </c>
      <c r="I529">
        <v>9</v>
      </c>
      <c r="J529" s="2">
        <v>1024.2</v>
      </c>
    </row>
    <row r="530" spans="1:10" x14ac:dyDescent="0.25">
      <c r="A530" t="s">
        <v>590</v>
      </c>
      <c r="B530" s="16">
        <v>45779</v>
      </c>
      <c r="C530" t="s">
        <v>17</v>
      </c>
      <c r="D530" t="s">
        <v>55</v>
      </c>
      <c r="E530" t="s">
        <v>27</v>
      </c>
      <c r="F530" t="s">
        <v>32</v>
      </c>
      <c r="G530" t="s">
        <v>20</v>
      </c>
      <c r="H530" s="2">
        <v>243.38</v>
      </c>
      <c r="I530">
        <v>7</v>
      </c>
      <c r="J530" s="2">
        <v>1703.66</v>
      </c>
    </row>
    <row r="531" spans="1:10" x14ac:dyDescent="0.25">
      <c r="A531" t="s">
        <v>591</v>
      </c>
      <c r="B531" s="16">
        <v>45970</v>
      </c>
      <c r="C531" t="s">
        <v>30</v>
      </c>
      <c r="D531" t="s">
        <v>55</v>
      </c>
      <c r="E531" t="s">
        <v>23</v>
      </c>
      <c r="F531" t="s">
        <v>39</v>
      </c>
      <c r="G531" t="s">
        <v>15</v>
      </c>
      <c r="H531" s="2">
        <v>215.27</v>
      </c>
      <c r="I531">
        <v>14</v>
      </c>
      <c r="J531" s="2">
        <v>3013.78</v>
      </c>
    </row>
    <row r="532" spans="1:10" x14ac:dyDescent="0.25">
      <c r="A532" t="s">
        <v>592</v>
      </c>
      <c r="B532" s="16">
        <v>45763</v>
      </c>
      <c r="C532" t="s">
        <v>25</v>
      </c>
      <c r="D532" t="s">
        <v>35</v>
      </c>
      <c r="E532" t="s">
        <v>18</v>
      </c>
      <c r="F532" t="s">
        <v>32</v>
      </c>
      <c r="G532" t="s">
        <v>20</v>
      </c>
      <c r="H532" s="2">
        <v>214.43</v>
      </c>
      <c r="I532">
        <v>2</v>
      </c>
      <c r="J532" s="2">
        <v>428.86</v>
      </c>
    </row>
    <row r="533" spans="1:10" x14ac:dyDescent="0.25">
      <c r="A533" t="s">
        <v>593</v>
      </c>
      <c r="B533" s="16">
        <v>45933</v>
      </c>
      <c r="C533" t="s">
        <v>34</v>
      </c>
      <c r="D533" t="s">
        <v>12</v>
      </c>
      <c r="E533" t="s">
        <v>13</v>
      </c>
      <c r="F533" t="s">
        <v>32</v>
      </c>
      <c r="G533" t="s">
        <v>20</v>
      </c>
      <c r="H533" s="2">
        <v>133.11000000000001</v>
      </c>
      <c r="I533">
        <v>6</v>
      </c>
      <c r="J533" s="2">
        <v>798.66</v>
      </c>
    </row>
    <row r="534" spans="1:10" x14ac:dyDescent="0.25">
      <c r="A534" t="s">
        <v>594</v>
      </c>
      <c r="B534" s="16">
        <v>45794</v>
      </c>
      <c r="C534" t="s">
        <v>17</v>
      </c>
      <c r="D534" t="s">
        <v>22</v>
      </c>
      <c r="E534" t="s">
        <v>23</v>
      </c>
      <c r="F534" t="s">
        <v>39</v>
      </c>
      <c r="G534" t="s">
        <v>36</v>
      </c>
      <c r="H534" s="2">
        <v>121.26</v>
      </c>
      <c r="I534">
        <v>17</v>
      </c>
      <c r="J534" s="2">
        <v>2061.42</v>
      </c>
    </row>
    <row r="535" spans="1:10" x14ac:dyDescent="0.25">
      <c r="A535" t="s">
        <v>595</v>
      </c>
      <c r="B535" s="16">
        <v>45688</v>
      </c>
      <c r="C535" t="s">
        <v>17</v>
      </c>
      <c r="D535" t="s">
        <v>26</v>
      </c>
      <c r="E535" t="s">
        <v>27</v>
      </c>
      <c r="F535" t="s">
        <v>39</v>
      </c>
      <c r="G535" t="s">
        <v>15</v>
      </c>
      <c r="H535" s="2">
        <v>90.15</v>
      </c>
      <c r="I535">
        <v>9</v>
      </c>
      <c r="J535" s="2">
        <v>811.35</v>
      </c>
    </row>
    <row r="536" spans="1:10" x14ac:dyDescent="0.25">
      <c r="A536" t="s">
        <v>596</v>
      </c>
      <c r="B536" s="16">
        <v>45785</v>
      </c>
      <c r="C536" t="s">
        <v>17</v>
      </c>
      <c r="D536" t="s">
        <v>35</v>
      </c>
      <c r="E536" t="s">
        <v>23</v>
      </c>
      <c r="F536" t="s">
        <v>39</v>
      </c>
      <c r="G536" t="s">
        <v>20</v>
      </c>
      <c r="H536" s="2">
        <v>42.4</v>
      </c>
      <c r="I536">
        <v>5</v>
      </c>
      <c r="J536" s="2">
        <v>212</v>
      </c>
    </row>
    <row r="537" spans="1:10" x14ac:dyDescent="0.25">
      <c r="A537" t="s">
        <v>597</v>
      </c>
      <c r="B537" s="16">
        <v>45859</v>
      </c>
      <c r="C537" t="s">
        <v>30</v>
      </c>
      <c r="D537" t="s">
        <v>55</v>
      </c>
      <c r="E537" t="s">
        <v>27</v>
      </c>
      <c r="F537" t="s">
        <v>32</v>
      </c>
      <c r="G537" t="s">
        <v>20</v>
      </c>
      <c r="H537" s="2">
        <v>220.24</v>
      </c>
      <c r="I537">
        <v>16</v>
      </c>
      <c r="J537" s="2">
        <v>3523.84</v>
      </c>
    </row>
    <row r="538" spans="1:10" x14ac:dyDescent="0.25">
      <c r="A538" t="s">
        <v>598</v>
      </c>
      <c r="B538" s="16">
        <v>45870</v>
      </c>
      <c r="C538" t="s">
        <v>38</v>
      </c>
      <c r="D538" t="s">
        <v>22</v>
      </c>
      <c r="E538" t="s">
        <v>27</v>
      </c>
      <c r="F538" t="s">
        <v>39</v>
      </c>
      <c r="G538" t="s">
        <v>15</v>
      </c>
      <c r="H538" s="2">
        <v>208.84</v>
      </c>
      <c r="I538">
        <v>13</v>
      </c>
      <c r="J538" s="2">
        <v>2714.92</v>
      </c>
    </row>
    <row r="539" spans="1:10" x14ac:dyDescent="0.25">
      <c r="A539" t="s">
        <v>599</v>
      </c>
      <c r="B539" s="16">
        <v>45864</v>
      </c>
      <c r="C539" t="s">
        <v>17</v>
      </c>
      <c r="D539" t="s">
        <v>35</v>
      </c>
      <c r="E539" t="s">
        <v>27</v>
      </c>
      <c r="F539" t="s">
        <v>32</v>
      </c>
      <c r="G539" t="s">
        <v>36</v>
      </c>
      <c r="H539" s="2">
        <v>249.94</v>
      </c>
      <c r="I539">
        <v>17</v>
      </c>
      <c r="J539" s="2">
        <v>4248.9799999999996</v>
      </c>
    </row>
    <row r="540" spans="1:10" x14ac:dyDescent="0.25">
      <c r="A540" t="s">
        <v>600</v>
      </c>
      <c r="B540" s="16">
        <v>45907</v>
      </c>
      <c r="C540" t="s">
        <v>25</v>
      </c>
      <c r="D540" t="s">
        <v>22</v>
      </c>
      <c r="E540" t="s">
        <v>27</v>
      </c>
      <c r="F540" t="s">
        <v>19</v>
      </c>
      <c r="G540" t="s">
        <v>20</v>
      </c>
      <c r="H540" s="2">
        <v>249.26</v>
      </c>
      <c r="I540">
        <v>11</v>
      </c>
      <c r="J540" s="2">
        <v>2741.86</v>
      </c>
    </row>
    <row r="541" spans="1:10" x14ac:dyDescent="0.25">
      <c r="A541" t="s">
        <v>601</v>
      </c>
      <c r="B541" s="16">
        <v>45892</v>
      </c>
      <c r="C541" t="s">
        <v>11</v>
      </c>
      <c r="D541" t="s">
        <v>55</v>
      </c>
      <c r="E541" t="s">
        <v>41</v>
      </c>
      <c r="F541" t="s">
        <v>14</v>
      </c>
      <c r="G541" t="s">
        <v>36</v>
      </c>
      <c r="H541" s="2">
        <v>152.19</v>
      </c>
      <c r="I541">
        <v>12</v>
      </c>
      <c r="J541" s="2">
        <v>1826.28</v>
      </c>
    </row>
    <row r="542" spans="1:10" x14ac:dyDescent="0.25">
      <c r="A542" t="s">
        <v>602</v>
      </c>
      <c r="B542" s="16">
        <v>45766</v>
      </c>
      <c r="C542" t="s">
        <v>34</v>
      </c>
      <c r="D542" t="s">
        <v>35</v>
      </c>
      <c r="E542" t="s">
        <v>13</v>
      </c>
      <c r="F542" t="s">
        <v>32</v>
      </c>
      <c r="G542" t="s">
        <v>20</v>
      </c>
      <c r="H542" s="2">
        <v>199.18</v>
      </c>
      <c r="I542">
        <v>16</v>
      </c>
      <c r="J542" s="2">
        <v>3186.88</v>
      </c>
    </row>
    <row r="543" spans="1:10" x14ac:dyDescent="0.25">
      <c r="A543" t="s">
        <v>603</v>
      </c>
      <c r="B543" s="16">
        <v>45953</v>
      </c>
      <c r="C543" t="s">
        <v>25</v>
      </c>
      <c r="D543" t="s">
        <v>31</v>
      </c>
      <c r="E543" t="s">
        <v>13</v>
      </c>
      <c r="F543" t="s">
        <v>28</v>
      </c>
      <c r="G543" t="s">
        <v>15</v>
      </c>
      <c r="H543" s="2">
        <v>237.85</v>
      </c>
      <c r="I543">
        <v>5</v>
      </c>
      <c r="J543" s="2">
        <v>1189.25</v>
      </c>
    </row>
    <row r="544" spans="1:10" x14ac:dyDescent="0.25">
      <c r="A544" t="s">
        <v>604</v>
      </c>
      <c r="B544" s="16">
        <v>45681</v>
      </c>
      <c r="C544" t="s">
        <v>17</v>
      </c>
      <c r="D544" t="s">
        <v>31</v>
      </c>
      <c r="E544" t="s">
        <v>45</v>
      </c>
      <c r="F544" t="s">
        <v>19</v>
      </c>
      <c r="G544" t="s">
        <v>15</v>
      </c>
      <c r="H544" s="2">
        <v>216.92</v>
      </c>
      <c r="I544">
        <v>4</v>
      </c>
      <c r="J544" s="2">
        <v>867.68</v>
      </c>
    </row>
    <row r="545" spans="1:10" x14ac:dyDescent="0.25">
      <c r="A545" t="s">
        <v>605</v>
      </c>
      <c r="B545" s="16">
        <v>45883</v>
      </c>
      <c r="C545" t="s">
        <v>11</v>
      </c>
      <c r="D545" t="s">
        <v>31</v>
      </c>
      <c r="E545" t="s">
        <v>23</v>
      </c>
      <c r="F545" t="s">
        <v>28</v>
      </c>
      <c r="G545" t="s">
        <v>15</v>
      </c>
      <c r="H545" s="2">
        <v>84.42</v>
      </c>
      <c r="I545">
        <v>15</v>
      </c>
      <c r="J545" s="2">
        <v>1266.3</v>
      </c>
    </row>
    <row r="546" spans="1:10" x14ac:dyDescent="0.25">
      <c r="A546" t="s">
        <v>606</v>
      </c>
      <c r="B546" s="16">
        <v>45990</v>
      </c>
      <c r="C546" t="s">
        <v>30</v>
      </c>
      <c r="D546" t="s">
        <v>35</v>
      </c>
      <c r="E546" t="s">
        <v>45</v>
      </c>
      <c r="F546" t="s">
        <v>28</v>
      </c>
      <c r="G546" t="s">
        <v>36</v>
      </c>
      <c r="H546" s="2">
        <v>129.12</v>
      </c>
      <c r="I546">
        <v>10</v>
      </c>
      <c r="J546" s="2">
        <v>1291.2</v>
      </c>
    </row>
    <row r="547" spans="1:10" x14ac:dyDescent="0.25">
      <c r="A547" t="s">
        <v>607</v>
      </c>
      <c r="B547" s="16">
        <v>45786</v>
      </c>
      <c r="C547" t="s">
        <v>34</v>
      </c>
      <c r="D547" t="s">
        <v>12</v>
      </c>
      <c r="E547" t="s">
        <v>27</v>
      </c>
      <c r="F547" t="s">
        <v>14</v>
      </c>
      <c r="G547" t="s">
        <v>15</v>
      </c>
      <c r="H547" s="2">
        <v>58.42</v>
      </c>
      <c r="I547">
        <v>3</v>
      </c>
      <c r="J547" s="2">
        <v>175.26</v>
      </c>
    </row>
    <row r="548" spans="1:10" x14ac:dyDescent="0.25">
      <c r="A548" t="s">
        <v>608</v>
      </c>
      <c r="B548" s="16">
        <v>45860</v>
      </c>
      <c r="C548" t="s">
        <v>17</v>
      </c>
      <c r="D548" t="s">
        <v>12</v>
      </c>
      <c r="E548" t="s">
        <v>23</v>
      </c>
      <c r="F548" t="s">
        <v>61</v>
      </c>
      <c r="G548" t="s">
        <v>20</v>
      </c>
      <c r="H548" s="2">
        <v>239.89</v>
      </c>
      <c r="I548">
        <v>10</v>
      </c>
      <c r="J548" s="2">
        <v>2398.9</v>
      </c>
    </row>
    <row r="549" spans="1:10" x14ac:dyDescent="0.25">
      <c r="A549" t="s">
        <v>609</v>
      </c>
      <c r="B549" s="16">
        <v>45704</v>
      </c>
      <c r="C549" t="s">
        <v>11</v>
      </c>
      <c r="D549" t="s">
        <v>26</v>
      </c>
      <c r="E549" t="s">
        <v>41</v>
      </c>
      <c r="F549" t="s">
        <v>19</v>
      </c>
      <c r="G549" t="s">
        <v>15</v>
      </c>
      <c r="H549" s="2">
        <v>163.36000000000001</v>
      </c>
      <c r="I549">
        <v>4</v>
      </c>
      <c r="J549" s="2">
        <v>653.44000000000005</v>
      </c>
    </row>
    <row r="550" spans="1:10" x14ac:dyDescent="0.25">
      <c r="A550" t="s">
        <v>610</v>
      </c>
      <c r="B550" s="16">
        <v>45961</v>
      </c>
      <c r="C550" t="s">
        <v>25</v>
      </c>
      <c r="D550" t="s">
        <v>12</v>
      </c>
      <c r="E550" t="s">
        <v>41</v>
      </c>
      <c r="F550" t="s">
        <v>19</v>
      </c>
      <c r="G550" t="s">
        <v>15</v>
      </c>
      <c r="H550" s="2">
        <v>80.3</v>
      </c>
      <c r="I550">
        <v>8</v>
      </c>
      <c r="J550" s="2">
        <v>642.4</v>
      </c>
    </row>
    <row r="551" spans="1:10" x14ac:dyDescent="0.25">
      <c r="A551" t="s">
        <v>611</v>
      </c>
      <c r="B551" s="16">
        <v>46014</v>
      </c>
      <c r="C551" t="s">
        <v>11</v>
      </c>
      <c r="D551" t="s">
        <v>31</v>
      </c>
      <c r="E551" t="s">
        <v>27</v>
      </c>
      <c r="F551" t="s">
        <v>14</v>
      </c>
      <c r="G551" t="s">
        <v>36</v>
      </c>
      <c r="H551" s="2">
        <v>177.77</v>
      </c>
      <c r="I551">
        <v>11</v>
      </c>
      <c r="J551" s="2">
        <v>1955.47</v>
      </c>
    </row>
    <row r="552" spans="1:10" x14ac:dyDescent="0.25">
      <c r="A552" t="s">
        <v>612</v>
      </c>
      <c r="B552" s="16">
        <v>45694</v>
      </c>
      <c r="C552" t="s">
        <v>38</v>
      </c>
      <c r="D552" t="s">
        <v>22</v>
      </c>
      <c r="E552" t="s">
        <v>27</v>
      </c>
      <c r="F552" t="s">
        <v>39</v>
      </c>
      <c r="G552" t="s">
        <v>15</v>
      </c>
      <c r="H552" s="2">
        <v>165.99</v>
      </c>
      <c r="I552">
        <v>8</v>
      </c>
      <c r="J552" s="2">
        <v>1327.92</v>
      </c>
    </row>
    <row r="553" spans="1:10" x14ac:dyDescent="0.25">
      <c r="A553" t="s">
        <v>613</v>
      </c>
      <c r="B553" s="16">
        <v>45710</v>
      </c>
      <c r="C553" t="s">
        <v>34</v>
      </c>
      <c r="D553" t="s">
        <v>35</v>
      </c>
      <c r="E553" t="s">
        <v>23</v>
      </c>
      <c r="F553" t="s">
        <v>61</v>
      </c>
      <c r="G553" t="s">
        <v>15</v>
      </c>
      <c r="H553" s="2">
        <v>108.8</v>
      </c>
      <c r="I553">
        <v>11</v>
      </c>
      <c r="J553" s="2">
        <v>1196.8</v>
      </c>
    </row>
    <row r="554" spans="1:10" x14ac:dyDescent="0.25">
      <c r="A554" t="s">
        <v>614</v>
      </c>
      <c r="B554" s="16">
        <v>45986</v>
      </c>
      <c r="C554" t="s">
        <v>11</v>
      </c>
      <c r="D554" t="s">
        <v>55</v>
      </c>
      <c r="E554" t="s">
        <v>18</v>
      </c>
      <c r="F554" t="s">
        <v>19</v>
      </c>
      <c r="G554" t="s">
        <v>20</v>
      </c>
      <c r="H554" s="2">
        <v>54.98</v>
      </c>
      <c r="I554">
        <v>5</v>
      </c>
      <c r="J554" s="2">
        <v>274.89999999999998</v>
      </c>
    </row>
    <row r="555" spans="1:10" x14ac:dyDescent="0.25">
      <c r="A555" t="s">
        <v>615</v>
      </c>
      <c r="B555" s="16">
        <v>45990</v>
      </c>
      <c r="C555" t="s">
        <v>38</v>
      </c>
      <c r="D555" t="s">
        <v>35</v>
      </c>
      <c r="E555" t="s">
        <v>27</v>
      </c>
      <c r="F555" t="s">
        <v>14</v>
      </c>
      <c r="G555" t="s">
        <v>20</v>
      </c>
      <c r="H555" s="2">
        <v>177.75</v>
      </c>
      <c r="I555">
        <v>6</v>
      </c>
      <c r="J555" s="2">
        <v>1066.5</v>
      </c>
    </row>
    <row r="556" spans="1:10" x14ac:dyDescent="0.25">
      <c r="A556" t="s">
        <v>616</v>
      </c>
      <c r="B556" s="16">
        <v>45735</v>
      </c>
      <c r="C556" t="s">
        <v>25</v>
      </c>
      <c r="D556" t="s">
        <v>12</v>
      </c>
      <c r="E556" t="s">
        <v>41</v>
      </c>
      <c r="F556" t="s">
        <v>39</v>
      </c>
      <c r="G556" t="s">
        <v>15</v>
      </c>
      <c r="H556" s="2">
        <v>144.47</v>
      </c>
      <c r="I556">
        <v>14</v>
      </c>
      <c r="J556" s="2">
        <v>2022.58</v>
      </c>
    </row>
    <row r="557" spans="1:10" x14ac:dyDescent="0.25">
      <c r="A557" t="s">
        <v>617</v>
      </c>
      <c r="B557" s="16">
        <v>45702</v>
      </c>
      <c r="C557" t="s">
        <v>30</v>
      </c>
      <c r="D557" t="s">
        <v>22</v>
      </c>
      <c r="E557" t="s">
        <v>18</v>
      </c>
      <c r="F557" t="s">
        <v>28</v>
      </c>
      <c r="G557" t="s">
        <v>36</v>
      </c>
      <c r="H557" s="2">
        <v>199.91</v>
      </c>
      <c r="I557">
        <v>4</v>
      </c>
      <c r="J557" s="2">
        <v>799.64</v>
      </c>
    </row>
    <row r="558" spans="1:10" x14ac:dyDescent="0.25">
      <c r="A558" t="s">
        <v>618</v>
      </c>
      <c r="B558" s="16">
        <v>45837</v>
      </c>
      <c r="C558" t="s">
        <v>34</v>
      </c>
      <c r="D558" t="s">
        <v>26</v>
      </c>
      <c r="E558" t="s">
        <v>23</v>
      </c>
      <c r="F558" t="s">
        <v>32</v>
      </c>
      <c r="G558" t="s">
        <v>20</v>
      </c>
      <c r="H558" s="2">
        <v>144.44</v>
      </c>
      <c r="I558">
        <v>14</v>
      </c>
      <c r="J558" s="2">
        <v>2022.16</v>
      </c>
    </row>
    <row r="559" spans="1:10" x14ac:dyDescent="0.25">
      <c r="A559" t="s">
        <v>619</v>
      </c>
      <c r="B559" s="16">
        <v>45701</v>
      </c>
      <c r="C559" t="s">
        <v>25</v>
      </c>
      <c r="D559" t="s">
        <v>55</v>
      </c>
      <c r="E559" t="s">
        <v>18</v>
      </c>
      <c r="F559" t="s">
        <v>28</v>
      </c>
      <c r="G559" t="s">
        <v>20</v>
      </c>
      <c r="H559" s="2">
        <v>217.48</v>
      </c>
      <c r="I559">
        <v>8</v>
      </c>
      <c r="J559" s="2">
        <v>1739.84</v>
      </c>
    </row>
    <row r="560" spans="1:10" x14ac:dyDescent="0.25">
      <c r="A560" t="s">
        <v>620</v>
      </c>
      <c r="B560" s="16">
        <v>45803</v>
      </c>
      <c r="C560" t="s">
        <v>17</v>
      </c>
      <c r="D560" t="s">
        <v>35</v>
      </c>
      <c r="E560" t="s">
        <v>23</v>
      </c>
      <c r="F560" t="s">
        <v>42</v>
      </c>
      <c r="G560" t="s">
        <v>20</v>
      </c>
      <c r="H560" s="2">
        <v>151.41999999999999</v>
      </c>
      <c r="I560">
        <v>1</v>
      </c>
      <c r="J560" s="2">
        <v>151.41999999999999</v>
      </c>
    </row>
    <row r="561" spans="1:10" x14ac:dyDescent="0.25">
      <c r="A561" t="s">
        <v>621</v>
      </c>
      <c r="B561" s="16">
        <v>45918</v>
      </c>
      <c r="C561" t="s">
        <v>17</v>
      </c>
      <c r="D561" t="s">
        <v>31</v>
      </c>
      <c r="E561" t="s">
        <v>13</v>
      </c>
      <c r="F561" t="s">
        <v>28</v>
      </c>
      <c r="G561" t="s">
        <v>15</v>
      </c>
      <c r="H561" s="2">
        <v>153.41</v>
      </c>
      <c r="I561">
        <v>7</v>
      </c>
      <c r="J561" s="2">
        <v>1073.8699999999999</v>
      </c>
    </row>
    <row r="562" spans="1:10" x14ac:dyDescent="0.25">
      <c r="A562" t="s">
        <v>622</v>
      </c>
      <c r="B562" s="16">
        <v>45780</v>
      </c>
      <c r="C562" t="s">
        <v>38</v>
      </c>
      <c r="D562" t="s">
        <v>22</v>
      </c>
      <c r="E562" t="s">
        <v>23</v>
      </c>
      <c r="F562" t="s">
        <v>61</v>
      </c>
      <c r="G562" t="s">
        <v>20</v>
      </c>
      <c r="H562" s="2">
        <v>222.86</v>
      </c>
      <c r="I562">
        <v>16</v>
      </c>
      <c r="J562" s="2">
        <v>3565.76</v>
      </c>
    </row>
    <row r="563" spans="1:10" x14ac:dyDescent="0.25">
      <c r="A563" t="s">
        <v>623</v>
      </c>
      <c r="B563" s="16">
        <v>45962</v>
      </c>
      <c r="C563" t="s">
        <v>25</v>
      </c>
      <c r="D563" t="s">
        <v>22</v>
      </c>
      <c r="E563" t="s">
        <v>13</v>
      </c>
      <c r="F563" t="s">
        <v>32</v>
      </c>
      <c r="G563" t="s">
        <v>15</v>
      </c>
      <c r="H563" s="2">
        <v>118.77</v>
      </c>
      <c r="I563">
        <v>3</v>
      </c>
      <c r="J563" s="2">
        <v>356.31</v>
      </c>
    </row>
    <row r="564" spans="1:10" x14ac:dyDescent="0.25">
      <c r="A564" t="s">
        <v>624</v>
      </c>
      <c r="B564" s="16">
        <v>45856</v>
      </c>
      <c r="C564" t="s">
        <v>38</v>
      </c>
      <c r="D564" t="s">
        <v>35</v>
      </c>
      <c r="E564" t="s">
        <v>18</v>
      </c>
      <c r="F564" t="s">
        <v>28</v>
      </c>
      <c r="G564" t="s">
        <v>15</v>
      </c>
      <c r="H564" s="2">
        <v>59.48</v>
      </c>
      <c r="I564">
        <v>19</v>
      </c>
      <c r="J564" s="2">
        <v>1130.1199999999999</v>
      </c>
    </row>
    <row r="565" spans="1:10" x14ac:dyDescent="0.25">
      <c r="A565" t="s">
        <v>625</v>
      </c>
      <c r="B565" s="16">
        <v>45899</v>
      </c>
      <c r="C565" t="s">
        <v>11</v>
      </c>
      <c r="D565" t="s">
        <v>55</v>
      </c>
      <c r="E565" t="s">
        <v>45</v>
      </c>
      <c r="F565" t="s">
        <v>19</v>
      </c>
      <c r="G565" t="s">
        <v>36</v>
      </c>
      <c r="H565" s="2">
        <v>36.33</v>
      </c>
      <c r="I565">
        <v>3</v>
      </c>
      <c r="J565" s="2">
        <v>108.99</v>
      </c>
    </row>
    <row r="566" spans="1:10" x14ac:dyDescent="0.25">
      <c r="A566" t="s">
        <v>626</v>
      </c>
      <c r="B566" s="16">
        <v>45768</v>
      </c>
      <c r="C566" t="s">
        <v>11</v>
      </c>
      <c r="D566" t="s">
        <v>31</v>
      </c>
      <c r="E566" t="s">
        <v>18</v>
      </c>
      <c r="F566" t="s">
        <v>32</v>
      </c>
      <c r="G566" t="s">
        <v>20</v>
      </c>
      <c r="H566" s="2">
        <v>196.13</v>
      </c>
      <c r="I566">
        <v>2</v>
      </c>
      <c r="J566" s="2">
        <v>392.26</v>
      </c>
    </row>
    <row r="567" spans="1:10" x14ac:dyDescent="0.25">
      <c r="A567" t="s">
        <v>627</v>
      </c>
      <c r="B567" s="16">
        <v>46022</v>
      </c>
      <c r="C567" t="s">
        <v>38</v>
      </c>
      <c r="D567" t="s">
        <v>31</v>
      </c>
      <c r="E567" t="s">
        <v>27</v>
      </c>
      <c r="F567" t="s">
        <v>61</v>
      </c>
      <c r="G567" t="s">
        <v>15</v>
      </c>
      <c r="H567" s="2">
        <v>166.47</v>
      </c>
      <c r="I567">
        <v>17</v>
      </c>
      <c r="J567" s="2">
        <v>2829.99</v>
      </c>
    </row>
    <row r="568" spans="1:10" x14ac:dyDescent="0.25">
      <c r="A568" t="s">
        <v>628</v>
      </c>
      <c r="B568" s="16">
        <v>45985</v>
      </c>
      <c r="C568" t="s">
        <v>25</v>
      </c>
      <c r="D568" t="s">
        <v>55</v>
      </c>
      <c r="E568" t="s">
        <v>23</v>
      </c>
      <c r="F568" t="s">
        <v>32</v>
      </c>
      <c r="G568" t="s">
        <v>15</v>
      </c>
      <c r="H568" s="2">
        <v>184.9</v>
      </c>
      <c r="I568">
        <v>18</v>
      </c>
      <c r="J568" s="2">
        <v>3328.2</v>
      </c>
    </row>
    <row r="569" spans="1:10" x14ac:dyDescent="0.25">
      <c r="A569" t="s">
        <v>629</v>
      </c>
      <c r="B569" s="16">
        <v>45816</v>
      </c>
      <c r="C569" t="s">
        <v>25</v>
      </c>
      <c r="D569" t="s">
        <v>26</v>
      </c>
      <c r="E569" t="s">
        <v>23</v>
      </c>
      <c r="F569" t="s">
        <v>42</v>
      </c>
      <c r="G569" t="s">
        <v>36</v>
      </c>
      <c r="H569" s="2">
        <v>76.849999999999994</v>
      </c>
      <c r="I569">
        <v>3</v>
      </c>
      <c r="J569" s="2">
        <v>230.55</v>
      </c>
    </row>
    <row r="570" spans="1:10" x14ac:dyDescent="0.25">
      <c r="A570" t="s">
        <v>630</v>
      </c>
      <c r="B570" s="16">
        <v>45858</v>
      </c>
      <c r="C570" t="s">
        <v>17</v>
      </c>
      <c r="D570" t="s">
        <v>12</v>
      </c>
      <c r="E570" t="s">
        <v>27</v>
      </c>
      <c r="F570" t="s">
        <v>28</v>
      </c>
      <c r="G570" t="s">
        <v>15</v>
      </c>
      <c r="H570" s="2">
        <v>60</v>
      </c>
      <c r="I570">
        <v>19</v>
      </c>
      <c r="J570" s="2">
        <v>1140</v>
      </c>
    </row>
    <row r="571" spans="1:10" x14ac:dyDescent="0.25">
      <c r="A571" t="s">
        <v>631</v>
      </c>
      <c r="B571" s="16">
        <v>45816</v>
      </c>
      <c r="C571" t="s">
        <v>17</v>
      </c>
      <c r="D571" t="s">
        <v>26</v>
      </c>
      <c r="E571" t="s">
        <v>45</v>
      </c>
      <c r="F571" t="s">
        <v>14</v>
      </c>
      <c r="G571" t="s">
        <v>15</v>
      </c>
      <c r="H571" s="2">
        <v>33.200000000000003</v>
      </c>
      <c r="I571">
        <v>14</v>
      </c>
      <c r="J571" s="2">
        <v>464.8</v>
      </c>
    </row>
    <row r="572" spans="1:10" x14ac:dyDescent="0.25">
      <c r="A572" t="s">
        <v>632</v>
      </c>
      <c r="B572" s="16">
        <v>45880</v>
      </c>
      <c r="C572" t="s">
        <v>38</v>
      </c>
      <c r="D572" t="s">
        <v>55</v>
      </c>
      <c r="E572" t="s">
        <v>18</v>
      </c>
      <c r="F572" t="s">
        <v>19</v>
      </c>
      <c r="G572" t="s">
        <v>36</v>
      </c>
      <c r="H572" s="2">
        <v>107.13</v>
      </c>
      <c r="I572">
        <v>4</v>
      </c>
      <c r="J572" s="2">
        <v>428.52</v>
      </c>
    </row>
    <row r="573" spans="1:10" x14ac:dyDescent="0.25">
      <c r="A573" t="s">
        <v>633</v>
      </c>
      <c r="B573" s="16">
        <v>45999</v>
      </c>
      <c r="C573" t="s">
        <v>11</v>
      </c>
      <c r="D573" t="s">
        <v>22</v>
      </c>
      <c r="E573" t="s">
        <v>27</v>
      </c>
      <c r="F573" t="s">
        <v>14</v>
      </c>
      <c r="G573" t="s">
        <v>20</v>
      </c>
      <c r="H573" s="2">
        <v>159.78</v>
      </c>
      <c r="I573">
        <v>6</v>
      </c>
      <c r="J573" s="2">
        <v>958.68</v>
      </c>
    </row>
    <row r="574" spans="1:10" x14ac:dyDescent="0.25">
      <c r="A574" t="s">
        <v>634</v>
      </c>
      <c r="B574" s="16">
        <v>45663</v>
      </c>
      <c r="C574" t="s">
        <v>38</v>
      </c>
      <c r="D574" t="s">
        <v>35</v>
      </c>
      <c r="E574" t="s">
        <v>18</v>
      </c>
      <c r="F574" t="s">
        <v>42</v>
      </c>
      <c r="G574" t="s">
        <v>20</v>
      </c>
      <c r="H574" s="2">
        <v>116.29</v>
      </c>
      <c r="I574">
        <v>6</v>
      </c>
      <c r="J574" s="2">
        <v>697.74</v>
      </c>
    </row>
    <row r="575" spans="1:10" x14ac:dyDescent="0.25">
      <c r="A575" t="s">
        <v>635</v>
      </c>
      <c r="B575" s="16">
        <v>45790</v>
      </c>
      <c r="C575" t="s">
        <v>34</v>
      </c>
      <c r="D575" t="s">
        <v>26</v>
      </c>
      <c r="E575" t="s">
        <v>27</v>
      </c>
      <c r="F575" t="s">
        <v>39</v>
      </c>
      <c r="G575" t="s">
        <v>36</v>
      </c>
      <c r="H575" s="2">
        <v>126.24</v>
      </c>
      <c r="I575">
        <v>6</v>
      </c>
      <c r="J575" s="2">
        <v>757.44</v>
      </c>
    </row>
    <row r="576" spans="1:10" x14ac:dyDescent="0.25">
      <c r="A576" t="s">
        <v>636</v>
      </c>
      <c r="B576" s="16">
        <v>45718</v>
      </c>
      <c r="C576" t="s">
        <v>34</v>
      </c>
      <c r="D576" t="s">
        <v>31</v>
      </c>
      <c r="E576" t="s">
        <v>13</v>
      </c>
      <c r="F576" t="s">
        <v>42</v>
      </c>
      <c r="G576" t="s">
        <v>15</v>
      </c>
      <c r="H576" s="2">
        <v>228.91</v>
      </c>
      <c r="I576">
        <v>1</v>
      </c>
      <c r="J576" s="2">
        <v>228.91</v>
      </c>
    </row>
    <row r="577" spans="1:10" x14ac:dyDescent="0.25">
      <c r="A577" t="s">
        <v>637</v>
      </c>
      <c r="B577" s="16">
        <v>45792</v>
      </c>
      <c r="C577" t="s">
        <v>17</v>
      </c>
      <c r="D577" t="s">
        <v>22</v>
      </c>
      <c r="E577" t="s">
        <v>41</v>
      </c>
      <c r="F577" t="s">
        <v>61</v>
      </c>
      <c r="G577" t="s">
        <v>20</v>
      </c>
      <c r="H577" s="2">
        <v>106.62</v>
      </c>
      <c r="I577">
        <v>19</v>
      </c>
      <c r="J577" s="2">
        <v>2025.78</v>
      </c>
    </row>
    <row r="578" spans="1:10" x14ac:dyDescent="0.25">
      <c r="A578" t="s">
        <v>638</v>
      </c>
      <c r="B578" s="16">
        <v>45842</v>
      </c>
      <c r="C578" t="s">
        <v>38</v>
      </c>
      <c r="D578" t="s">
        <v>55</v>
      </c>
      <c r="E578" t="s">
        <v>23</v>
      </c>
      <c r="F578" t="s">
        <v>32</v>
      </c>
      <c r="G578" t="s">
        <v>15</v>
      </c>
      <c r="H578" s="2">
        <v>143.08000000000001</v>
      </c>
      <c r="I578">
        <v>2</v>
      </c>
      <c r="J578" s="2">
        <v>286.16000000000003</v>
      </c>
    </row>
    <row r="579" spans="1:10" x14ac:dyDescent="0.25">
      <c r="A579" t="s">
        <v>639</v>
      </c>
      <c r="B579" s="16">
        <v>45788</v>
      </c>
      <c r="C579" t="s">
        <v>25</v>
      </c>
      <c r="D579" t="s">
        <v>12</v>
      </c>
      <c r="E579" t="s">
        <v>27</v>
      </c>
      <c r="F579" t="s">
        <v>19</v>
      </c>
      <c r="G579" t="s">
        <v>15</v>
      </c>
      <c r="H579" s="2">
        <v>202.4</v>
      </c>
      <c r="I579">
        <v>4</v>
      </c>
      <c r="J579" s="2">
        <v>809.6</v>
      </c>
    </row>
    <row r="580" spans="1:10" x14ac:dyDescent="0.25">
      <c r="A580" t="s">
        <v>640</v>
      </c>
      <c r="B580" s="16">
        <v>45918</v>
      </c>
      <c r="C580" t="s">
        <v>11</v>
      </c>
      <c r="D580" t="s">
        <v>22</v>
      </c>
      <c r="E580" t="s">
        <v>23</v>
      </c>
      <c r="F580" t="s">
        <v>19</v>
      </c>
      <c r="G580" t="s">
        <v>36</v>
      </c>
      <c r="H580" s="2">
        <v>117.24</v>
      </c>
      <c r="I580">
        <v>1</v>
      </c>
      <c r="J580" s="2">
        <v>117.24</v>
      </c>
    </row>
    <row r="581" spans="1:10" x14ac:dyDescent="0.25">
      <c r="A581" t="s">
        <v>641</v>
      </c>
      <c r="B581" s="16">
        <v>45844</v>
      </c>
      <c r="C581" t="s">
        <v>30</v>
      </c>
      <c r="D581" t="s">
        <v>26</v>
      </c>
      <c r="E581" t="s">
        <v>45</v>
      </c>
      <c r="F581" t="s">
        <v>42</v>
      </c>
      <c r="G581" t="s">
        <v>20</v>
      </c>
      <c r="H581" s="2">
        <v>166.86</v>
      </c>
      <c r="I581">
        <v>13</v>
      </c>
      <c r="J581" s="2">
        <v>2169.1799999999998</v>
      </c>
    </row>
    <row r="582" spans="1:10" x14ac:dyDescent="0.25">
      <c r="A582" t="s">
        <v>642</v>
      </c>
      <c r="B582" s="16">
        <v>45993</v>
      </c>
      <c r="C582" t="s">
        <v>30</v>
      </c>
      <c r="D582" t="s">
        <v>35</v>
      </c>
      <c r="E582" t="s">
        <v>23</v>
      </c>
      <c r="F582" t="s">
        <v>61</v>
      </c>
      <c r="G582" t="s">
        <v>20</v>
      </c>
      <c r="H582" s="2">
        <v>219.72</v>
      </c>
      <c r="I582">
        <v>14</v>
      </c>
      <c r="J582" s="2">
        <v>3076.08</v>
      </c>
    </row>
    <row r="583" spans="1:10" x14ac:dyDescent="0.25">
      <c r="A583" t="s">
        <v>643</v>
      </c>
      <c r="B583" s="16">
        <v>45821</v>
      </c>
      <c r="C583" t="s">
        <v>11</v>
      </c>
      <c r="D583" t="s">
        <v>55</v>
      </c>
      <c r="E583" t="s">
        <v>13</v>
      </c>
      <c r="F583" t="s">
        <v>19</v>
      </c>
      <c r="G583" t="s">
        <v>20</v>
      </c>
      <c r="H583" s="2">
        <v>238.89</v>
      </c>
      <c r="I583">
        <v>9</v>
      </c>
      <c r="J583" s="2">
        <v>2150.0100000000002</v>
      </c>
    </row>
    <row r="584" spans="1:10" x14ac:dyDescent="0.25">
      <c r="A584" t="s">
        <v>644</v>
      </c>
      <c r="B584" s="16">
        <v>46002</v>
      </c>
      <c r="C584" t="s">
        <v>30</v>
      </c>
      <c r="D584" t="s">
        <v>26</v>
      </c>
      <c r="E584" t="s">
        <v>18</v>
      </c>
      <c r="F584" t="s">
        <v>19</v>
      </c>
      <c r="G584" t="s">
        <v>36</v>
      </c>
      <c r="H584" s="2">
        <v>62.36</v>
      </c>
      <c r="I584">
        <v>2</v>
      </c>
      <c r="J584" s="2">
        <v>124.72</v>
      </c>
    </row>
    <row r="585" spans="1:10" x14ac:dyDescent="0.25">
      <c r="A585" t="s">
        <v>645</v>
      </c>
      <c r="B585" s="16">
        <v>45693</v>
      </c>
      <c r="C585" t="s">
        <v>34</v>
      </c>
      <c r="D585" t="s">
        <v>35</v>
      </c>
      <c r="E585" t="s">
        <v>13</v>
      </c>
      <c r="F585" t="s">
        <v>19</v>
      </c>
      <c r="G585" t="s">
        <v>20</v>
      </c>
      <c r="H585" s="2">
        <v>233.85</v>
      </c>
      <c r="I585">
        <v>15</v>
      </c>
      <c r="J585" s="2">
        <v>3507.75</v>
      </c>
    </row>
    <row r="586" spans="1:10" x14ac:dyDescent="0.25">
      <c r="A586" t="s">
        <v>646</v>
      </c>
      <c r="B586" s="16">
        <v>45891</v>
      </c>
      <c r="C586" t="s">
        <v>34</v>
      </c>
      <c r="D586" t="s">
        <v>26</v>
      </c>
      <c r="E586" t="s">
        <v>13</v>
      </c>
      <c r="F586" t="s">
        <v>42</v>
      </c>
      <c r="G586" t="s">
        <v>36</v>
      </c>
      <c r="H586" s="2">
        <v>138.27000000000001</v>
      </c>
      <c r="I586">
        <v>1</v>
      </c>
      <c r="J586" s="2">
        <v>138.27000000000001</v>
      </c>
    </row>
    <row r="587" spans="1:10" x14ac:dyDescent="0.25">
      <c r="A587" t="s">
        <v>647</v>
      </c>
      <c r="B587" s="16">
        <v>45976</v>
      </c>
      <c r="C587" t="s">
        <v>38</v>
      </c>
      <c r="D587" t="s">
        <v>35</v>
      </c>
      <c r="E587" t="s">
        <v>18</v>
      </c>
      <c r="F587" t="s">
        <v>61</v>
      </c>
      <c r="G587" t="s">
        <v>15</v>
      </c>
      <c r="H587" s="2">
        <v>86.81</v>
      </c>
      <c r="I587">
        <v>8</v>
      </c>
      <c r="J587" s="2">
        <v>694.48</v>
      </c>
    </row>
    <row r="588" spans="1:10" x14ac:dyDescent="0.25">
      <c r="A588" t="s">
        <v>648</v>
      </c>
      <c r="B588" s="16">
        <v>45937</v>
      </c>
      <c r="C588" t="s">
        <v>30</v>
      </c>
      <c r="D588" t="s">
        <v>22</v>
      </c>
      <c r="E588" t="s">
        <v>41</v>
      </c>
      <c r="F588" t="s">
        <v>19</v>
      </c>
      <c r="G588" t="s">
        <v>15</v>
      </c>
      <c r="H588" s="2">
        <v>131.01</v>
      </c>
      <c r="I588">
        <v>8</v>
      </c>
      <c r="J588" s="2">
        <v>1048.08</v>
      </c>
    </row>
    <row r="589" spans="1:10" x14ac:dyDescent="0.25">
      <c r="A589" t="s">
        <v>649</v>
      </c>
      <c r="B589" s="16">
        <v>45935</v>
      </c>
      <c r="C589" t="s">
        <v>17</v>
      </c>
      <c r="D589" t="s">
        <v>12</v>
      </c>
      <c r="E589" t="s">
        <v>45</v>
      </c>
      <c r="F589" t="s">
        <v>32</v>
      </c>
      <c r="G589" t="s">
        <v>15</v>
      </c>
      <c r="H589" s="2">
        <v>245.61</v>
      </c>
      <c r="I589">
        <v>12</v>
      </c>
      <c r="J589" s="2">
        <v>2947.32</v>
      </c>
    </row>
    <row r="590" spans="1:10" x14ac:dyDescent="0.25">
      <c r="A590" t="s">
        <v>650</v>
      </c>
      <c r="B590" s="16">
        <v>45994</v>
      </c>
      <c r="C590" t="s">
        <v>17</v>
      </c>
      <c r="D590" t="s">
        <v>12</v>
      </c>
      <c r="E590" t="s">
        <v>13</v>
      </c>
      <c r="F590" t="s">
        <v>19</v>
      </c>
      <c r="G590" t="s">
        <v>15</v>
      </c>
      <c r="H590" s="2">
        <v>138.38</v>
      </c>
      <c r="I590">
        <v>13</v>
      </c>
      <c r="J590" s="2">
        <v>1798.94</v>
      </c>
    </row>
    <row r="591" spans="1:10" x14ac:dyDescent="0.25">
      <c r="A591" t="s">
        <v>651</v>
      </c>
      <c r="B591" s="16">
        <v>45929</v>
      </c>
      <c r="C591" t="s">
        <v>38</v>
      </c>
      <c r="D591" t="s">
        <v>31</v>
      </c>
      <c r="E591" t="s">
        <v>45</v>
      </c>
      <c r="F591" t="s">
        <v>14</v>
      </c>
      <c r="G591" t="s">
        <v>20</v>
      </c>
      <c r="H591" s="2">
        <v>102.33</v>
      </c>
      <c r="I591">
        <v>8</v>
      </c>
      <c r="J591" s="2">
        <v>818.64</v>
      </c>
    </row>
    <row r="592" spans="1:10" x14ac:dyDescent="0.25">
      <c r="A592" t="s">
        <v>652</v>
      </c>
      <c r="B592" s="16">
        <v>45801</v>
      </c>
      <c r="C592" t="s">
        <v>11</v>
      </c>
      <c r="D592" t="s">
        <v>26</v>
      </c>
      <c r="E592" t="s">
        <v>18</v>
      </c>
      <c r="F592" t="s">
        <v>61</v>
      </c>
      <c r="G592" t="s">
        <v>20</v>
      </c>
      <c r="H592" s="2">
        <v>169.35</v>
      </c>
      <c r="I592">
        <v>3</v>
      </c>
      <c r="J592" s="2">
        <v>508.05</v>
      </c>
    </row>
    <row r="593" spans="1:10" x14ac:dyDescent="0.25">
      <c r="A593" t="s">
        <v>653</v>
      </c>
      <c r="B593" s="16">
        <v>45848</v>
      </c>
      <c r="C593" t="s">
        <v>17</v>
      </c>
      <c r="D593" t="s">
        <v>22</v>
      </c>
      <c r="E593" t="s">
        <v>18</v>
      </c>
      <c r="F593" t="s">
        <v>19</v>
      </c>
      <c r="G593" t="s">
        <v>20</v>
      </c>
      <c r="H593" s="2">
        <v>82.83</v>
      </c>
      <c r="I593">
        <v>15</v>
      </c>
      <c r="J593" s="2">
        <v>1242.45</v>
      </c>
    </row>
    <row r="594" spans="1:10" x14ac:dyDescent="0.25">
      <c r="A594" t="s">
        <v>654</v>
      </c>
      <c r="B594" s="16">
        <v>45726</v>
      </c>
      <c r="C594" t="s">
        <v>11</v>
      </c>
      <c r="D594" t="s">
        <v>55</v>
      </c>
      <c r="E594" t="s">
        <v>18</v>
      </c>
      <c r="F594" t="s">
        <v>19</v>
      </c>
      <c r="G594" t="s">
        <v>36</v>
      </c>
      <c r="H594" s="2">
        <v>46.69</v>
      </c>
      <c r="I594">
        <v>13</v>
      </c>
      <c r="J594" s="2">
        <v>606.97</v>
      </c>
    </row>
    <row r="595" spans="1:10" x14ac:dyDescent="0.25">
      <c r="A595" t="s">
        <v>655</v>
      </c>
      <c r="B595" s="16">
        <v>45997</v>
      </c>
      <c r="C595" t="s">
        <v>30</v>
      </c>
      <c r="D595" t="s">
        <v>35</v>
      </c>
      <c r="E595" t="s">
        <v>13</v>
      </c>
      <c r="F595" t="s">
        <v>39</v>
      </c>
      <c r="G595" t="s">
        <v>36</v>
      </c>
      <c r="H595" s="2">
        <v>58.35</v>
      </c>
      <c r="I595">
        <v>5</v>
      </c>
      <c r="J595" s="2">
        <v>291.75</v>
      </c>
    </row>
    <row r="596" spans="1:10" x14ac:dyDescent="0.25">
      <c r="A596" t="s">
        <v>656</v>
      </c>
      <c r="B596" s="16">
        <v>45859</v>
      </c>
      <c r="C596" t="s">
        <v>34</v>
      </c>
      <c r="D596" t="s">
        <v>31</v>
      </c>
      <c r="E596" t="s">
        <v>13</v>
      </c>
      <c r="F596" t="s">
        <v>14</v>
      </c>
      <c r="G596" t="s">
        <v>15</v>
      </c>
      <c r="H596" s="2">
        <v>58.17</v>
      </c>
      <c r="I596">
        <v>11</v>
      </c>
      <c r="J596" s="2">
        <v>639.87</v>
      </c>
    </row>
    <row r="597" spans="1:10" x14ac:dyDescent="0.25">
      <c r="A597" t="s">
        <v>657</v>
      </c>
      <c r="B597" s="16">
        <v>45761</v>
      </c>
      <c r="C597" t="s">
        <v>25</v>
      </c>
      <c r="D597" t="s">
        <v>22</v>
      </c>
      <c r="E597" t="s">
        <v>23</v>
      </c>
      <c r="F597" t="s">
        <v>19</v>
      </c>
      <c r="G597" t="s">
        <v>15</v>
      </c>
      <c r="H597" s="2">
        <v>63.42</v>
      </c>
      <c r="I597">
        <v>5</v>
      </c>
      <c r="J597" s="2">
        <v>317.10000000000002</v>
      </c>
    </row>
    <row r="598" spans="1:10" x14ac:dyDescent="0.25">
      <c r="A598" t="s">
        <v>658</v>
      </c>
      <c r="B598" s="16">
        <v>45888</v>
      </c>
      <c r="C598" t="s">
        <v>34</v>
      </c>
      <c r="D598" t="s">
        <v>31</v>
      </c>
      <c r="E598" t="s">
        <v>45</v>
      </c>
      <c r="F598" t="s">
        <v>42</v>
      </c>
      <c r="G598" t="s">
        <v>36</v>
      </c>
      <c r="H598" s="2">
        <v>60.54</v>
      </c>
      <c r="I598">
        <v>15</v>
      </c>
      <c r="J598" s="2">
        <v>908.1</v>
      </c>
    </row>
    <row r="599" spans="1:10" x14ac:dyDescent="0.25">
      <c r="A599" t="s">
        <v>659</v>
      </c>
      <c r="B599" s="16">
        <v>45764</v>
      </c>
      <c r="C599" t="s">
        <v>34</v>
      </c>
      <c r="D599" t="s">
        <v>31</v>
      </c>
      <c r="E599" t="s">
        <v>13</v>
      </c>
      <c r="F599" t="s">
        <v>39</v>
      </c>
      <c r="G599" t="s">
        <v>15</v>
      </c>
      <c r="H599" s="2">
        <v>170.99</v>
      </c>
      <c r="I599">
        <v>15</v>
      </c>
      <c r="J599" s="2">
        <v>2564.85</v>
      </c>
    </row>
    <row r="600" spans="1:10" x14ac:dyDescent="0.25">
      <c r="A600" t="s">
        <v>660</v>
      </c>
      <c r="B600" s="16">
        <v>45704</v>
      </c>
      <c r="C600" t="s">
        <v>17</v>
      </c>
      <c r="D600" t="s">
        <v>35</v>
      </c>
      <c r="E600" t="s">
        <v>27</v>
      </c>
      <c r="F600" t="s">
        <v>28</v>
      </c>
      <c r="G600" t="s">
        <v>20</v>
      </c>
      <c r="H600" s="2">
        <v>70.010000000000005</v>
      </c>
      <c r="I600">
        <v>6</v>
      </c>
      <c r="J600" s="2">
        <v>420.06</v>
      </c>
    </row>
    <row r="601" spans="1:10" x14ac:dyDescent="0.25">
      <c r="A601" t="s">
        <v>661</v>
      </c>
      <c r="B601" s="16">
        <v>45678</v>
      </c>
      <c r="C601" t="s">
        <v>34</v>
      </c>
      <c r="D601" t="s">
        <v>26</v>
      </c>
      <c r="E601" t="s">
        <v>45</v>
      </c>
      <c r="F601" t="s">
        <v>28</v>
      </c>
      <c r="G601" t="s">
        <v>15</v>
      </c>
      <c r="H601" s="2">
        <v>106.05</v>
      </c>
      <c r="I601">
        <v>7</v>
      </c>
      <c r="J601" s="2">
        <v>742.35</v>
      </c>
    </row>
    <row r="602" spans="1:10" x14ac:dyDescent="0.25">
      <c r="A602" t="s">
        <v>662</v>
      </c>
      <c r="B602" s="16">
        <v>45840</v>
      </c>
      <c r="C602" t="s">
        <v>25</v>
      </c>
      <c r="D602" t="s">
        <v>22</v>
      </c>
      <c r="E602" t="s">
        <v>27</v>
      </c>
      <c r="F602" t="s">
        <v>32</v>
      </c>
      <c r="G602" t="s">
        <v>36</v>
      </c>
      <c r="H602" s="2">
        <v>227.29</v>
      </c>
      <c r="I602">
        <v>13</v>
      </c>
      <c r="J602" s="2">
        <v>2954.77</v>
      </c>
    </row>
    <row r="603" spans="1:10" x14ac:dyDescent="0.25">
      <c r="A603" t="s">
        <v>663</v>
      </c>
      <c r="B603" s="16">
        <v>45747</v>
      </c>
      <c r="C603" t="s">
        <v>38</v>
      </c>
      <c r="D603" t="s">
        <v>31</v>
      </c>
      <c r="E603" t="s">
        <v>18</v>
      </c>
      <c r="F603" t="s">
        <v>28</v>
      </c>
      <c r="G603" t="s">
        <v>20</v>
      </c>
      <c r="H603" s="2">
        <v>134.27000000000001</v>
      </c>
      <c r="I603">
        <v>1</v>
      </c>
      <c r="J603" s="2">
        <v>134.27000000000001</v>
      </c>
    </row>
    <row r="604" spans="1:10" x14ac:dyDescent="0.25">
      <c r="A604" t="s">
        <v>664</v>
      </c>
      <c r="B604" s="16">
        <v>45785</v>
      </c>
      <c r="C604" t="s">
        <v>38</v>
      </c>
      <c r="D604" t="s">
        <v>22</v>
      </c>
      <c r="E604" t="s">
        <v>23</v>
      </c>
      <c r="F604" t="s">
        <v>19</v>
      </c>
      <c r="G604" t="s">
        <v>15</v>
      </c>
      <c r="H604" s="2">
        <v>176.86</v>
      </c>
      <c r="I604">
        <v>4</v>
      </c>
      <c r="J604" s="2">
        <v>707.44</v>
      </c>
    </row>
    <row r="605" spans="1:10" x14ac:dyDescent="0.25">
      <c r="A605" t="s">
        <v>665</v>
      </c>
      <c r="B605" s="16">
        <v>45689</v>
      </c>
      <c r="C605" t="s">
        <v>30</v>
      </c>
      <c r="D605" t="s">
        <v>26</v>
      </c>
      <c r="E605" t="s">
        <v>41</v>
      </c>
      <c r="F605" t="s">
        <v>32</v>
      </c>
      <c r="G605" t="s">
        <v>20</v>
      </c>
      <c r="H605" s="2">
        <v>67.91</v>
      </c>
      <c r="I605">
        <v>8</v>
      </c>
      <c r="J605" s="2">
        <v>543.28</v>
      </c>
    </row>
    <row r="606" spans="1:10" x14ac:dyDescent="0.25">
      <c r="A606" t="s">
        <v>666</v>
      </c>
      <c r="B606" s="16">
        <v>45980</v>
      </c>
      <c r="C606" t="s">
        <v>25</v>
      </c>
      <c r="D606" t="s">
        <v>55</v>
      </c>
      <c r="E606" t="s">
        <v>13</v>
      </c>
      <c r="F606" t="s">
        <v>39</v>
      </c>
      <c r="G606" t="s">
        <v>15</v>
      </c>
      <c r="H606" s="2">
        <v>72.3</v>
      </c>
      <c r="I606">
        <v>3</v>
      </c>
      <c r="J606" s="2">
        <v>216.9</v>
      </c>
    </row>
    <row r="607" spans="1:10" x14ac:dyDescent="0.25">
      <c r="A607" t="s">
        <v>667</v>
      </c>
      <c r="B607" s="16">
        <v>45669</v>
      </c>
      <c r="C607" t="s">
        <v>30</v>
      </c>
      <c r="D607" t="s">
        <v>12</v>
      </c>
      <c r="E607" t="s">
        <v>41</v>
      </c>
      <c r="F607" t="s">
        <v>39</v>
      </c>
      <c r="G607" t="s">
        <v>15</v>
      </c>
      <c r="H607" s="2">
        <v>38.99</v>
      </c>
      <c r="I607">
        <v>3</v>
      </c>
      <c r="J607" s="2">
        <v>116.97</v>
      </c>
    </row>
    <row r="608" spans="1:10" x14ac:dyDescent="0.25">
      <c r="A608" t="s">
        <v>668</v>
      </c>
      <c r="B608" s="16">
        <v>45705</v>
      </c>
      <c r="C608" t="s">
        <v>11</v>
      </c>
      <c r="D608" t="s">
        <v>22</v>
      </c>
      <c r="E608" t="s">
        <v>41</v>
      </c>
      <c r="F608" t="s">
        <v>19</v>
      </c>
      <c r="G608" t="s">
        <v>15</v>
      </c>
      <c r="H608" s="2">
        <v>67.17</v>
      </c>
      <c r="I608">
        <v>11</v>
      </c>
      <c r="J608" s="2">
        <v>738.87</v>
      </c>
    </row>
    <row r="609" spans="1:10" x14ac:dyDescent="0.25">
      <c r="A609" t="s">
        <v>669</v>
      </c>
      <c r="B609" s="16">
        <v>45951</v>
      </c>
      <c r="C609" t="s">
        <v>17</v>
      </c>
      <c r="D609" t="s">
        <v>31</v>
      </c>
      <c r="E609" t="s">
        <v>41</v>
      </c>
      <c r="F609" t="s">
        <v>19</v>
      </c>
      <c r="G609" t="s">
        <v>36</v>
      </c>
      <c r="H609" s="2">
        <v>91.29</v>
      </c>
      <c r="I609">
        <v>14</v>
      </c>
      <c r="J609" s="2">
        <v>1278.06</v>
      </c>
    </row>
    <row r="610" spans="1:10" x14ac:dyDescent="0.25">
      <c r="A610" t="s">
        <v>670</v>
      </c>
      <c r="B610" s="16">
        <v>46007</v>
      </c>
      <c r="C610" t="s">
        <v>30</v>
      </c>
      <c r="D610" t="s">
        <v>35</v>
      </c>
      <c r="E610" t="s">
        <v>23</v>
      </c>
      <c r="F610" t="s">
        <v>14</v>
      </c>
      <c r="G610" t="s">
        <v>36</v>
      </c>
      <c r="H610" s="2">
        <v>68.94</v>
      </c>
      <c r="I610">
        <v>14</v>
      </c>
      <c r="J610" s="2">
        <v>965.16</v>
      </c>
    </row>
    <row r="611" spans="1:10" x14ac:dyDescent="0.25">
      <c r="A611" t="s">
        <v>671</v>
      </c>
      <c r="B611" s="16">
        <v>45801</v>
      </c>
      <c r="C611" t="s">
        <v>30</v>
      </c>
      <c r="D611" t="s">
        <v>22</v>
      </c>
      <c r="E611" t="s">
        <v>18</v>
      </c>
      <c r="F611" t="s">
        <v>42</v>
      </c>
      <c r="G611" t="s">
        <v>20</v>
      </c>
      <c r="H611" s="2">
        <v>49.51</v>
      </c>
      <c r="I611">
        <v>15</v>
      </c>
      <c r="J611" s="2">
        <v>742.65</v>
      </c>
    </row>
    <row r="612" spans="1:10" x14ac:dyDescent="0.25">
      <c r="A612" t="s">
        <v>672</v>
      </c>
      <c r="B612" s="16">
        <v>45783</v>
      </c>
      <c r="C612" t="s">
        <v>38</v>
      </c>
      <c r="D612" t="s">
        <v>31</v>
      </c>
      <c r="E612" t="s">
        <v>18</v>
      </c>
      <c r="F612" t="s">
        <v>61</v>
      </c>
      <c r="G612" t="s">
        <v>15</v>
      </c>
      <c r="H612" s="2">
        <v>56.54</v>
      </c>
      <c r="I612">
        <v>10</v>
      </c>
      <c r="J612" s="2">
        <v>565.4</v>
      </c>
    </row>
    <row r="613" spans="1:10" x14ac:dyDescent="0.25">
      <c r="A613" t="s">
        <v>673</v>
      </c>
      <c r="B613" s="16">
        <v>45702</v>
      </c>
      <c r="C613" t="s">
        <v>38</v>
      </c>
      <c r="D613" t="s">
        <v>26</v>
      </c>
      <c r="E613" t="s">
        <v>41</v>
      </c>
      <c r="F613" t="s">
        <v>14</v>
      </c>
      <c r="G613" t="s">
        <v>20</v>
      </c>
      <c r="H613" s="2">
        <v>131.37</v>
      </c>
      <c r="I613">
        <v>9</v>
      </c>
      <c r="J613" s="2">
        <v>1182.33</v>
      </c>
    </row>
    <row r="614" spans="1:10" x14ac:dyDescent="0.25">
      <c r="A614" t="s">
        <v>674</v>
      </c>
      <c r="B614" s="16">
        <v>45927</v>
      </c>
      <c r="C614" t="s">
        <v>17</v>
      </c>
      <c r="D614" t="s">
        <v>55</v>
      </c>
      <c r="E614" t="s">
        <v>45</v>
      </c>
      <c r="F614" t="s">
        <v>61</v>
      </c>
      <c r="G614" t="s">
        <v>20</v>
      </c>
      <c r="H614" s="2">
        <v>75.39</v>
      </c>
      <c r="I614">
        <v>8</v>
      </c>
      <c r="J614" s="2">
        <v>603.12</v>
      </c>
    </row>
    <row r="615" spans="1:10" x14ac:dyDescent="0.25">
      <c r="A615" t="s">
        <v>675</v>
      </c>
      <c r="B615" s="16">
        <v>45841</v>
      </c>
      <c r="C615" t="s">
        <v>25</v>
      </c>
      <c r="D615" t="s">
        <v>31</v>
      </c>
      <c r="E615" t="s">
        <v>13</v>
      </c>
      <c r="F615" t="s">
        <v>42</v>
      </c>
      <c r="G615" t="s">
        <v>20</v>
      </c>
      <c r="H615" s="2">
        <v>110.14</v>
      </c>
      <c r="I615">
        <v>16</v>
      </c>
      <c r="J615" s="2">
        <v>1762.24</v>
      </c>
    </row>
    <row r="616" spans="1:10" x14ac:dyDescent="0.25">
      <c r="A616" t="s">
        <v>676</v>
      </c>
      <c r="B616" s="16">
        <v>45822</v>
      </c>
      <c r="C616" t="s">
        <v>34</v>
      </c>
      <c r="D616" t="s">
        <v>26</v>
      </c>
      <c r="E616" t="s">
        <v>45</v>
      </c>
      <c r="F616" t="s">
        <v>32</v>
      </c>
      <c r="G616" t="s">
        <v>20</v>
      </c>
      <c r="H616" s="2">
        <v>140.75</v>
      </c>
      <c r="I616">
        <v>13</v>
      </c>
      <c r="J616" s="2">
        <v>1829.75</v>
      </c>
    </row>
    <row r="617" spans="1:10" x14ac:dyDescent="0.25">
      <c r="A617" t="s">
        <v>677</v>
      </c>
      <c r="B617" s="16">
        <v>45770</v>
      </c>
      <c r="C617" t="s">
        <v>34</v>
      </c>
      <c r="D617" t="s">
        <v>22</v>
      </c>
      <c r="E617" t="s">
        <v>41</v>
      </c>
      <c r="F617" t="s">
        <v>42</v>
      </c>
      <c r="G617" t="s">
        <v>36</v>
      </c>
      <c r="H617" s="2">
        <v>181.89</v>
      </c>
      <c r="I617">
        <v>1</v>
      </c>
      <c r="J617" s="2">
        <v>181.89</v>
      </c>
    </row>
    <row r="618" spans="1:10" x14ac:dyDescent="0.25">
      <c r="A618" t="s">
        <v>678</v>
      </c>
      <c r="B618" s="16">
        <v>45957</v>
      </c>
      <c r="C618" t="s">
        <v>30</v>
      </c>
      <c r="D618" t="s">
        <v>22</v>
      </c>
      <c r="E618" t="s">
        <v>23</v>
      </c>
      <c r="F618" t="s">
        <v>28</v>
      </c>
      <c r="G618" t="s">
        <v>15</v>
      </c>
      <c r="H618" s="2">
        <v>38.65</v>
      </c>
      <c r="I618">
        <v>8</v>
      </c>
      <c r="J618" s="2">
        <v>309.2</v>
      </c>
    </row>
    <row r="619" spans="1:10" x14ac:dyDescent="0.25">
      <c r="A619" t="s">
        <v>679</v>
      </c>
      <c r="B619" s="16">
        <v>45794</v>
      </c>
      <c r="C619" t="s">
        <v>17</v>
      </c>
      <c r="D619" t="s">
        <v>22</v>
      </c>
      <c r="E619" t="s">
        <v>23</v>
      </c>
      <c r="F619" t="s">
        <v>42</v>
      </c>
      <c r="G619" t="s">
        <v>36</v>
      </c>
      <c r="H619" s="2">
        <v>205.87</v>
      </c>
      <c r="I619">
        <v>18</v>
      </c>
      <c r="J619" s="2">
        <v>3705.66</v>
      </c>
    </row>
    <row r="620" spans="1:10" x14ac:dyDescent="0.25">
      <c r="A620" t="s">
        <v>680</v>
      </c>
      <c r="B620" s="16">
        <v>45839</v>
      </c>
      <c r="C620" t="s">
        <v>30</v>
      </c>
      <c r="D620" t="s">
        <v>26</v>
      </c>
      <c r="E620" t="s">
        <v>18</v>
      </c>
      <c r="F620" t="s">
        <v>32</v>
      </c>
      <c r="G620" t="s">
        <v>20</v>
      </c>
      <c r="H620" s="2">
        <v>168.14</v>
      </c>
      <c r="I620">
        <v>6</v>
      </c>
      <c r="J620" s="2">
        <v>1008.84</v>
      </c>
    </row>
    <row r="621" spans="1:10" x14ac:dyDescent="0.25">
      <c r="A621" t="s">
        <v>681</v>
      </c>
      <c r="B621" s="16">
        <v>46015</v>
      </c>
      <c r="C621" t="s">
        <v>25</v>
      </c>
      <c r="D621" t="s">
        <v>22</v>
      </c>
      <c r="E621" t="s">
        <v>27</v>
      </c>
      <c r="F621" t="s">
        <v>28</v>
      </c>
      <c r="G621" t="s">
        <v>36</v>
      </c>
      <c r="H621" s="2">
        <v>47.99</v>
      </c>
      <c r="I621">
        <v>12</v>
      </c>
      <c r="J621" s="2">
        <v>575.88</v>
      </c>
    </row>
    <row r="622" spans="1:10" x14ac:dyDescent="0.25">
      <c r="A622" t="s">
        <v>682</v>
      </c>
      <c r="B622" s="16">
        <v>45948</v>
      </c>
      <c r="C622" t="s">
        <v>30</v>
      </c>
      <c r="D622" t="s">
        <v>55</v>
      </c>
      <c r="E622" t="s">
        <v>23</v>
      </c>
      <c r="F622" t="s">
        <v>39</v>
      </c>
      <c r="G622" t="s">
        <v>36</v>
      </c>
      <c r="H622" s="2">
        <v>222.19</v>
      </c>
      <c r="I622">
        <v>19</v>
      </c>
      <c r="J622" s="2">
        <v>4221.6099999999997</v>
      </c>
    </row>
    <row r="623" spans="1:10" x14ac:dyDescent="0.25">
      <c r="A623" t="s">
        <v>683</v>
      </c>
      <c r="B623" s="16">
        <v>45935</v>
      </c>
      <c r="C623" t="s">
        <v>30</v>
      </c>
      <c r="D623" t="s">
        <v>31</v>
      </c>
      <c r="E623" t="s">
        <v>45</v>
      </c>
      <c r="F623" t="s">
        <v>19</v>
      </c>
      <c r="G623" t="s">
        <v>15</v>
      </c>
      <c r="H623" s="2">
        <v>232.59</v>
      </c>
      <c r="I623">
        <v>10</v>
      </c>
      <c r="J623" s="2">
        <v>2325.9</v>
      </c>
    </row>
    <row r="624" spans="1:10" x14ac:dyDescent="0.25">
      <c r="A624" t="s">
        <v>684</v>
      </c>
      <c r="B624" s="16">
        <v>45777</v>
      </c>
      <c r="C624" t="s">
        <v>30</v>
      </c>
      <c r="D624" t="s">
        <v>22</v>
      </c>
      <c r="E624" t="s">
        <v>18</v>
      </c>
      <c r="F624" t="s">
        <v>61</v>
      </c>
      <c r="G624" t="s">
        <v>15</v>
      </c>
      <c r="H624" s="2">
        <v>43.44</v>
      </c>
      <c r="I624">
        <v>20</v>
      </c>
      <c r="J624" s="2">
        <v>868.8</v>
      </c>
    </row>
    <row r="625" spans="1:10" x14ac:dyDescent="0.25">
      <c r="A625" t="s">
        <v>685</v>
      </c>
      <c r="B625" s="16">
        <v>45827</v>
      </c>
      <c r="C625" t="s">
        <v>30</v>
      </c>
      <c r="D625" t="s">
        <v>26</v>
      </c>
      <c r="E625" t="s">
        <v>13</v>
      </c>
      <c r="F625" t="s">
        <v>28</v>
      </c>
      <c r="G625" t="s">
        <v>15</v>
      </c>
      <c r="H625" s="2">
        <v>90.91</v>
      </c>
      <c r="I625">
        <v>20</v>
      </c>
      <c r="J625" s="2">
        <v>1818.2</v>
      </c>
    </row>
    <row r="626" spans="1:10" x14ac:dyDescent="0.25">
      <c r="A626" t="s">
        <v>686</v>
      </c>
      <c r="B626" s="16">
        <v>45823</v>
      </c>
      <c r="C626" t="s">
        <v>11</v>
      </c>
      <c r="D626" t="s">
        <v>26</v>
      </c>
      <c r="E626" t="s">
        <v>18</v>
      </c>
      <c r="F626" t="s">
        <v>28</v>
      </c>
      <c r="G626" t="s">
        <v>15</v>
      </c>
      <c r="H626" s="2">
        <v>207.36</v>
      </c>
      <c r="I626">
        <v>2</v>
      </c>
      <c r="J626" s="2">
        <v>414.72</v>
      </c>
    </row>
    <row r="627" spans="1:10" x14ac:dyDescent="0.25">
      <c r="A627" t="s">
        <v>687</v>
      </c>
      <c r="B627" s="16">
        <v>45714</v>
      </c>
      <c r="C627" t="s">
        <v>34</v>
      </c>
      <c r="D627" t="s">
        <v>22</v>
      </c>
      <c r="E627" t="s">
        <v>13</v>
      </c>
      <c r="F627" t="s">
        <v>28</v>
      </c>
      <c r="G627" t="s">
        <v>20</v>
      </c>
      <c r="H627" s="2">
        <v>194.62</v>
      </c>
      <c r="I627">
        <v>17</v>
      </c>
      <c r="J627" s="2">
        <v>3308.54</v>
      </c>
    </row>
    <row r="628" spans="1:10" x14ac:dyDescent="0.25">
      <c r="A628" t="s">
        <v>688</v>
      </c>
      <c r="B628" s="16">
        <v>45860</v>
      </c>
      <c r="C628" t="s">
        <v>11</v>
      </c>
      <c r="D628" t="s">
        <v>35</v>
      </c>
      <c r="E628" t="s">
        <v>13</v>
      </c>
      <c r="F628" t="s">
        <v>32</v>
      </c>
      <c r="G628" t="s">
        <v>15</v>
      </c>
      <c r="H628" s="2">
        <v>70.59</v>
      </c>
      <c r="I628">
        <v>19</v>
      </c>
      <c r="J628" s="2">
        <v>1341.21</v>
      </c>
    </row>
    <row r="629" spans="1:10" x14ac:dyDescent="0.25">
      <c r="A629" t="s">
        <v>689</v>
      </c>
      <c r="B629" s="16">
        <v>45738</v>
      </c>
      <c r="C629" t="s">
        <v>17</v>
      </c>
      <c r="D629" t="s">
        <v>31</v>
      </c>
      <c r="E629" t="s">
        <v>27</v>
      </c>
      <c r="F629" t="s">
        <v>32</v>
      </c>
      <c r="G629" t="s">
        <v>15</v>
      </c>
      <c r="H629" s="2">
        <v>76.06</v>
      </c>
      <c r="I629">
        <v>14</v>
      </c>
      <c r="J629" s="2">
        <v>1064.8399999999999</v>
      </c>
    </row>
    <row r="630" spans="1:10" x14ac:dyDescent="0.25">
      <c r="A630" t="s">
        <v>690</v>
      </c>
      <c r="B630" s="16">
        <v>46020</v>
      </c>
      <c r="C630" t="s">
        <v>17</v>
      </c>
      <c r="D630" t="s">
        <v>55</v>
      </c>
      <c r="E630" t="s">
        <v>13</v>
      </c>
      <c r="F630" t="s">
        <v>14</v>
      </c>
      <c r="G630" t="s">
        <v>20</v>
      </c>
      <c r="H630" s="2">
        <v>111.5</v>
      </c>
      <c r="I630">
        <v>18</v>
      </c>
      <c r="J630" s="2">
        <v>2007</v>
      </c>
    </row>
    <row r="631" spans="1:10" x14ac:dyDescent="0.25">
      <c r="A631" t="s">
        <v>691</v>
      </c>
      <c r="B631" s="16">
        <v>45959</v>
      </c>
      <c r="C631" t="s">
        <v>38</v>
      </c>
      <c r="D631" t="s">
        <v>35</v>
      </c>
      <c r="E631" t="s">
        <v>27</v>
      </c>
      <c r="F631" t="s">
        <v>28</v>
      </c>
      <c r="G631" t="s">
        <v>36</v>
      </c>
      <c r="H631" s="2">
        <v>136.6</v>
      </c>
      <c r="I631">
        <v>6</v>
      </c>
      <c r="J631" s="2">
        <v>819.6</v>
      </c>
    </row>
    <row r="632" spans="1:10" x14ac:dyDescent="0.25">
      <c r="A632" t="s">
        <v>692</v>
      </c>
      <c r="B632" s="16">
        <v>45723</v>
      </c>
      <c r="C632" t="s">
        <v>17</v>
      </c>
      <c r="D632" t="s">
        <v>22</v>
      </c>
      <c r="E632" t="s">
        <v>27</v>
      </c>
      <c r="F632" t="s">
        <v>42</v>
      </c>
      <c r="G632" t="s">
        <v>36</v>
      </c>
      <c r="H632" s="2">
        <v>166.02</v>
      </c>
      <c r="I632">
        <v>6</v>
      </c>
      <c r="J632" s="2">
        <v>996.12</v>
      </c>
    </row>
    <row r="633" spans="1:10" x14ac:dyDescent="0.25">
      <c r="A633" t="s">
        <v>693</v>
      </c>
      <c r="B633" s="16">
        <v>45948</v>
      </c>
      <c r="C633" t="s">
        <v>30</v>
      </c>
      <c r="D633" t="s">
        <v>55</v>
      </c>
      <c r="E633" t="s">
        <v>13</v>
      </c>
      <c r="F633" t="s">
        <v>39</v>
      </c>
      <c r="G633" t="s">
        <v>20</v>
      </c>
      <c r="H633" s="2">
        <v>111.16</v>
      </c>
      <c r="I633">
        <v>2</v>
      </c>
      <c r="J633" s="2">
        <v>222.32</v>
      </c>
    </row>
    <row r="634" spans="1:10" x14ac:dyDescent="0.25">
      <c r="A634" t="s">
        <v>694</v>
      </c>
      <c r="B634" s="16">
        <v>45771</v>
      </c>
      <c r="C634" t="s">
        <v>11</v>
      </c>
      <c r="D634" t="s">
        <v>31</v>
      </c>
      <c r="E634" t="s">
        <v>23</v>
      </c>
      <c r="F634" t="s">
        <v>32</v>
      </c>
      <c r="G634" t="s">
        <v>20</v>
      </c>
      <c r="H634" s="2">
        <v>131.76</v>
      </c>
      <c r="I634">
        <v>19</v>
      </c>
      <c r="J634" s="2">
        <v>2503.44</v>
      </c>
    </row>
    <row r="635" spans="1:10" x14ac:dyDescent="0.25">
      <c r="A635" t="s">
        <v>695</v>
      </c>
      <c r="B635" s="16">
        <v>45697</v>
      </c>
      <c r="C635" t="s">
        <v>34</v>
      </c>
      <c r="D635" t="s">
        <v>35</v>
      </c>
      <c r="E635" t="s">
        <v>23</v>
      </c>
      <c r="F635" t="s">
        <v>28</v>
      </c>
      <c r="G635" t="s">
        <v>15</v>
      </c>
      <c r="H635" s="2">
        <v>194.44</v>
      </c>
      <c r="I635">
        <v>8</v>
      </c>
      <c r="J635" s="2">
        <v>1555.52</v>
      </c>
    </row>
    <row r="636" spans="1:10" x14ac:dyDescent="0.25">
      <c r="A636" t="s">
        <v>696</v>
      </c>
      <c r="B636" s="16">
        <v>46020</v>
      </c>
      <c r="C636" t="s">
        <v>38</v>
      </c>
      <c r="D636" t="s">
        <v>22</v>
      </c>
      <c r="E636" t="s">
        <v>13</v>
      </c>
      <c r="F636" t="s">
        <v>14</v>
      </c>
      <c r="G636" t="s">
        <v>15</v>
      </c>
      <c r="H636" s="2">
        <v>38.07</v>
      </c>
      <c r="I636">
        <v>11</v>
      </c>
      <c r="J636" s="2">
        <v>418.77</v>
      </c>
    </row>
    <row r="637" spans="1:10" x14ac:dyDescent="0.25">
      <c r="A637" t="s">
        <v>697</v>
      </c>
      <c r="B637" s="16">
        <v>46012</v>
      </c>
      <c r="C637" t="s">
        <v>34</v>
      </c>
      <c r="D637" t="s">
        <v>35</v>
      </c>
      <c r="E637" t="s">
        <v>45</v>
      </c>
      <c r="F637" t="s">
        <v>28</v>
      </c>
      <c r="G637" t="s">
        <v>15</v>
      </c>
      <c r="H637" s="2">
        <v>85.54</v>
      </c>
      <c r="I637">
        <v>3</v>
      </c>
      <c r="J637" s="2">
        <v>256.62</v>
      </c>
    </row>
    <row r="638" spans="1:10" x14ac:dyDescent="0.25">
      <c r="A638" t="s">
        <v>698</v>
      </c>
      <c r="B638" s="16">
        <v>45682</v>
      </c>
      <c r="C638" t="s">
        <v>38</v>
      </c>
      <c r="D638" t="s">
        <v>12</v>
      </c>
      <c r="E638" t="s">
        <v>41</v>
      </c>
      <c r="F638" t="s">
        <v>14</v>
      </c>
      <c r="G638" t="s">
        <v>36</v>
      </c>
      <c r="H638" s="2">
        <v>186.94</v>
      </c>
      <c r="I638">
        <v>13</v>
      </c>
      <c r="J638" s="2">
        <v>2430.2199999999998</v>
      </c>
    </row>
    <row r="639" spans="1:10" x14ac:dyDescent="0.25">
      <c r="A639" t="s">
        <v>699</v>
      </c>
      <c r="B639" s="16">
        <v>45910</v>
      </c>
      <c r="C639" t="s">
        <v>34</v>
      </c>
      <c r="D639" t="s">
        <v>55</v>
      </c>
      <c r="E639" t="s">
        <v>41</v>
      </c>
      <c r="F639" t="s">
        <v>19</v>
      </c>
      <c r="G639" t="s">
        <v>36</v>
      </c>
      <c r="H639" s="2">
        <v>226.95</v>
      </c>
      <c r="I639">
        <v>13</v>
      </c>
      <c r="J639" s="2">
        <v>2950.35</v>
      </c>
    </row>
    <row r="640" spans="1:10" x14ac:dyDescent="0.25">
      <c r="A640" t="s">
        <v>700</v>
      </c>
      <c r="B640" s="16">
        <v>45953</v>
      </c>
      <c r="C640" t="s">
        <v>30</v>
      </c>
      <c r="D640" t="s">
        <v>31</v>
      </c>
      <c r="E640" t="s">
        <v>45</v>
      </c>
      <c r="F640" t="s">
        <v>39</v>
      </c>
      <c r="G640" t="s">
        <v>15</v>
      </c>
      <c r="H640" s="2">
        <v>142.57</v>
      </c>
      <c r="I640">
        <v>8</v>
      </c>
      <c r="J640" s="2">
        <v>1140.56</v>
      </c>
    </row>
    <row r="641" spans="1:10" x14ac:dyDescent="0.25">
      <c r="A641" t="s">
        <v>701</v>
      </c>
      <c r="B641" s="16">
        <v>45808</v>
      </c>
      <c r="C641" t="s">
        <v>34</v>
      </c>
      <c r="D641" t="s">
        <v>35</v>
      </c>
      <c r="E641" t="s">
        <v>45</v>
      </c>
      <c r="F641" t="s">
        <v>19</v>
      </c>
      <c r="G641" t="s">
        <v>36</v>
      </c>
      <c r="H641" s="2">
        <v>147.06</v>
      </c>
      <c r="I641">
        <v>1</v>
      </c>
      <c r="J641" s="2">
        <v>147.06</v>
      </c>
    </row>
    <row r="642" spans="1:10" x14ac:dyDescent="0.25">
      <c r="A642" t="s">
        <v>702</v>
      </c>
      <c r="B642" s="16">
        <v>45745</v>
      </c>
      <c r="C642" t="s">
        <v>30</v>
      </c>
      <c r="D642" t="s">
        <v>12</v>
      </c>
      <c r="E642" t="s">
        <v>45</v>
      </c>
      <c r="F642" t="s">
        <v>42</v>
      </c>
      <c r="G642" t="s">
        <v>15</v>
      </c>
      <c r="H642" s="2">
        <v>53.58</v>
      </c>
      <c r="I642">
        <v>13</v>
      </c>
      <c r="J642" s="2">
        <v>696.54</v>
      </c>
    </row>
    <row r="643" spans="1:10" x14ac:dyDescent="0.25">
      <c r="A643" t="s">
        <v>703</v>
      </c>
      <c r="B643" s="16">
        <v>45831</v>
      </c>
      <c r="C643" t="s">
        <v>25</v>
      </c>
      <c r="D643" t="s">
        <v>31</v>
      </c>
      <c r="E643" t="s">
        <v>27</v>
      </c>
      <c r="F643" t="s">
        <v>19</v>
      </c>
      <c r="G643" t="s">
        <v>36</v>
      </c>
      <c r="H643" s="2">
        <v>128.43</v>
      </c>
      <c r="I643">
        <v>20</v>
      </c>
      <c r="J643" s="2">
        <v>2568.6</v>
      </c>
    </row>
    <row r="644" spans="1:10" x14ac:dyDescent="0.25">
      <c r="A644" t="s">
        <v>704</v>
      </c>
      <c r="B644" s="16">
        <v>45992</v>
      </c>
      <c r="C644" t="s">
        <v>25</v>
      </c>
      <c r="D644" t="s">
        <v>31</v>
      </c>
      <c r="E644" t="s">
        <v>23</v>
      </c>
      <c r="F644" t="s">
        <v>19</v>
      </c>
      <c r="G644" t="s">
        <v>15</v>
      </c>
      <c r="H644" s="2">
        <v>147.18</v>
      </c>
      <c r="I644">
        <v>6</v>
      </c>
      <c r="J644" s="2">
        <v>883.08</v>
      </c>
    </row>
    <row r="645" spans="1:10" x14ac:dyDescent="0.25">
      <c r="A645" t="s">
        <v>705</v>
      </c>
      <c r="B645" s="16">
        <v>45827</v>
      </c>
      <c r="C645" t="s">
        <v>30</v>
      </c>
      <c r="D645" t="s">
        <v>31</v>
      </c>
      <c r="E645" t="s">
        <v>27</v>
      </c>
      <c r="F645" t="s">
        <v>42</v>
      </c>
      <c r="G645" t="s">
        <v>20</v>
      </c>
      <c r="H645" s="2">
        <v>83.34</v>
      </c>
      <c r="I645">
        <v>7</v>
      </c>
      <c r="J645" s="2">
        <v>583.38</v>
      </c>
    </row>
    <row r="646" spans="1:10" x14ac:dyDescent="0.25">
      <c r="A646" t="s">
        <v>706</v>
      </c>
      <c r="B646" s="16">
        <v>45934</v>
      </c>
      <c r="C646" t="s">
        <v>17</v>
      </c>
      <c r="D646" t="s">
        <v>35</v>
      </c>
      <c r="E646" t="s">
        <v>13</v>
      </c>
      <c r="F646" t="s">
        <v>14</v>
      </c>
      <c r="G646" t="s">
        <v>15</v>
      </c>
      <c r="H646" s="2">
        <v>89.23</v>
      </c>
      <c r="I646">
        <v>9</v>
      </c>
      <c r="J646" s="2">
        <v>803.07</v>
      </c>
    </row>
    <row r="647" spans="1:10" x14ac:dyDescent="0.25">
      <c r="A647" t="s">
        <v>707</v>
      </c>
      <c r="B647" s="16">
        <v>45683</v>
      </c>
      <c r="C647" t="s">
        <v>25</v>
      </c>
      <c r="D647" t="s">
        <v>55</v>
      </c>
      <c r="E647" t="s">
        <v>41</v>
      </c>
      <c r="F647" t="s">
        <v>14</v>
      </c>
      <c r="G647" t="s">
        <v>15</v>
      </c>
      <c r="H647" s="2">
        <v>113</v>
      </c>
      <c r="I647">
        <v>13</v>
      </c>
      <c r="J647" s="2">
        <v>1469</v>
      </c>
    </row>
    <row r="648" spans="1:10" x14ac:dyDescent="0.25">
      <c r="A648" t="s">
        <v>708</v>
      </c>
      <c r="B648" s="16">
        <v>45842</v>
      </c>
      <c r="C648" t="s">
        <v>38</v>
      </c>
      <c r="D648" t="s">
        <v>22</v>
      </c>
      <c r="E648" t="s">
        <v>13</v>
      </c>
      <c r="F648" t="s">
        <v>39</v>
      </c>
      <c r="G648" t="s">
        <v>20</v>
      </c>
      <c r="H648" s="2">
        <v>34.42</v>
      </c>
      <c r="I648">
        <v>1</v>
      </c>
      <c r="J648" s="2">
        <v>34.42</v>
      </c>
    </row>
    <row r="649" spans="1:10" x14ac:dyDescent="0.25">
      <c r="A649" t="s">
        <v>709</v>
      </c>
      <c r="B649" s="16">
        <v>45978</v>
      </c>
      <c r="C649" t="s">
        <v>38</v>
      </c>
      <c r="D649" t="s">
        <v>26</v>
      </c>
      <c r="E649" t="s">
        <v>45</v>
      </c>
      <c r="F649" t="s">
        <v>19</v>
      </c>
      <c r="G649" t="s">
        <v>15</v>
      </c>
      <c r="H649" s="2">
        <v>100.86</v>
      </c>
      <c r="I649">
        <v>20</v>
      </c>
      <c r="J649" s="2">
        <v>2017.2</v>
      </c>
    </row>
    <row r="650" spans="1:10" x14ac:dyDescent="0.25">
      <c r="A650" t="s">
        <v>710</v>
      </c>
      <c r="B650" s="16">
        <v>45745</v>
      </c>
      <c r="C650" t="s">
        <v>11</v>
      </c>
      <c r="D650" t="s">
        <v>31</v>
      </c>
      <c r="E650" t="s">
        <v>45</v>
      </c>
      <c r="F650" t="s">
        <v>32</v>
      </c>
      <c r="G650" t="s">
        <v>36</v>
      </c>
      <c r="H650" s="2">
        <v>76.52</v>
      </c>
      <c r="I650">
        <v>10</v>
      </c>
      <c r="J650" s="2">
        <v>765.2</v>
      </c>
    </row>
    <row r="651" spans="1:10" x14ac:dyDescent="0.25">
      <c r="A651" t="s">
        <v>711</v>
      </c>
      <c r="B651" s="16">
        <v>45899</v>
      </c>
      <c r="C651" t="s">
        <v>17</v>
      </c>
      <c r="D651" t="s">
        <v>35</v>
      </c>
      <c r="E651" t="s">
        <v>45</v>
      </c>
      <c r="F651" t="s">
        <v>28</v>
      </c>
      <c r="G651" t="s">
        <v>20</v>
      </c>
      <c r="H651" s="2">
        <v>102.05</v>
      </c>
      <c r="I651">
        <v>16</v>
      </c>
      <c r="J651" s="2">
        <v>1632.8</v>
      </c>
    </row>
    <row r="652" spans="1:10" x14ac:dyDescent="0.25">
      <c r="A652" t="s">
        <v>712</v>
      </c>
      <c r="B652" s="16">
        <v>45856</v>
      </c>
      <c r="C652" t="s">
        <v>34</v>
      </c>
      <c r="D652" t="s">
        <v>31</v>
      </c>
      <c r="E652" t="s">
        <v>13</v>
      </c>
      <c r="F652" t="s">
        <v>14</v>
      </c>
      <c r="G652" t="s">
        <v>36</v>
      </c>
      <c r="H652" s="2">
        <v>56.35</v>
      </c>
      <c r="I652">
        <v>6</v>
      </c>
      <c r="J652" s="2">
        <v>338.1</v>
      </c>
    </row>
    <row r="653" spans="1:10" x14ac:dyDescent="0.25">
      <c r="A653" t="s">
        <v>713</v>
      </c>
      <c r="B653" s="16">
        <v>45680</v>
      </c>
      <c r="C653" t="s">
        <v>38</v>
      </c>
      <c r="D653" t="s">
        <v>31</v>
      </c>
      <c r="E653" t="s">
        <v>13</v>
      </c>
      <c r="F653" t="s">
        <v>14</v>
      </c>
      <c r="G653" t="s">
        <v>36</v>
      </c>
      <c r="H653" s="2">
        <v>225.92</v>
      </c>
      <c r="I653">
        <v>9</v>
      </c>
      <c r="J653" s="2">
        <v>2033.28</v>
      </c>
    </row>
    <row r="654" spans="1:10" x14ac:dyDescent="0.25">
      <c r="A654" t="s">
        <v>714</v>
      </c>
      <c r="B654" s="16">
        <v>45946</v>
      </c>
      <c r="C654" t="s">
        <v>30</v>
      </c>
      <c r="D654" t="s">
        <v>12</v>
      </c>
      <c r="E654" t="s">
        <v>27</v>
      </c>
      <c r="F654" t="s">
        <v>19</v>
      </c>
      <c r="G654" t="s">
        <v>15</v>
      </c>
      <c r="H654" s="2">
        <v>160.59</v>
      </c>
      <c r="I654">
        <v>2</v>
      </c>
      <c r="J654" s="2">
        <v>321.18</v>
      </c>
    </row>
    <row r="655" spans="1:10" x14ac:dyDescent="0.25">
      <c r="A655" t="s">
        <v>715</v>
      </c>
      <c r="B655" s="16">
        <v>46000</v>
      </c>
      <c r="C655" t="s">
        <v>25</v>
      </c>
      <c r="D655" t="s">
        <v>31</v>
      </c>
      <c r="E655" t="s">
        <v>18</v>
      </c>
      <c r="F655" t="s">
        <v>14</v>
      </c>
      <c r="G655" t="s">
        <v>20</v>
      </c>
      <c r="H655" s="2">
        <v>179.4</v>
      </c>
      <c r="I655">
        <v>12</v>
      </c>
      <c r="J655" s="2">
        <v>2152.8000000000002</v>
      </c>
    </row>
    <row r="656" spans="1:10" x14ac:dyDescent="0.25">
      <c r="A656" t="s">
        <v>716</v>
      </c>
      <c r="B656" s="16">
        <v>45689</v>
      </c>
      <c r="C656" t="s">
        <v>25</v>
      </c>
      <c r="D656" t="s">
        <v>31</v>
      </c>
      <c r="E656" t="s">
        <v>18</v>
      </c>
      <c r="F656" t="s">
        <v>28</v>
      </c>
      <c r="G656" t="s">
        <v>36</v>
      </c>
      <c r="H656" s="2">
        <v>203.62</v>
      </c>
      <c r="I656">
        <v>13</v>
      </c>
      <c r="J656" s="2">
        <v>2647.06</v>
      </c>
    </row>
    <row r="657" spans="1:10" x14ac:dyDescent="0.25">
      <c r="A657" t="s">
        <v>717</v>
      </c>
      <c r="B657" s="16">
        <v>45951</v>
      </c>
      <c r="C657" t="s">
        <v>38</v>
      </c>
      <c r="D657" t="s">
        <v>35</v>
      </c>
      <c r="E657" t="s">
        <v>45</v>
      </c>
      <c r="F657" t="s">
        <v>61</v>
      </c>
      <c r="G657" t="s">
        <v>20</v>
      </c>
      <c r="H657" s="2">
        <v>139.66</v>
      </c>
      <c r="I657">
        <v>8</v>
      </c>
      <c r="J657" s="2">
        <v>1117.28</v>
      </c>
    </row>
    <row r="658" spans="1:10" x14ac:dyDescent="0.25">
      <c r="A658" t="s">
        <v>718</v>
      </c>
      <c r="B658" s="16">
        <v>45675</v>
      </c>
      <c r="C658" t="s">
        <v>25</v>
      </c>
      <c r="D658" t="s">
        <v>55</v>
      </c>
      <c r="E658" t="s">
        <v>18</v>
      </c>
      <c r="F658" t="s">
        <v>28</v>
      </c>
      <c r="G658" t="s">
        <v>20</v>
      </c>
      <c r="H658" s="2">
        <v>49.12</v>
      </c>
      <c r="I658">
        <v>17</v>
      </c>
      <c r="J658" s="2">
        <v>835.04</v>
      </c>
    </row>
    <row r="659" spans="1:10" x14ac:dyDescent="0.25">
      <c r="A659" t="s">
        <v>719</v>
      </c>
      <c r="B659" s="16">
        <v>45733</v>
      </c>
      <c r="C659" t="s">
        <v>38</v>
      </c>
      <c r="D659" t="s">
        <v>26</v>
      </c>
      <c r="E659" t="s">
        <v>23</v>
      </c>
      <c r="F659" t="s">
        <v>14</v>
      </c>
      <c r="G659" t="s">
        <v>15</v>
      </c>
      <c r="H659" s="2">
        <v>148.16</v>
      </c>
      <c r="I659">
        <v>4</v>
      </c>
      <c r="J659" s="2">
        <v>592.64</v>
      </c>
    </row>
    <row r="660" spans="1:10" x14ac:dyDescent="0.25">
      <c r="A660" t="s">
        <v>720</v>
      </c>
      <c r="B660" s="16">
        <v>45722</v>
      </c>
      <c r="C660" t="s">
        <v>38</v>
      </c>
      <c r="D660" t="s">
        <v>22</v>
      </c>
      <c r="E660" t="s">
        <v>27</v>
      </c>
      <c r="F660" t="s">
        <v>61</v>
      </c>
      <c r="G660" t="s">
        <v>15</v>
      </c>
      <c r="H660" s="2">
        <v>159.11000000000001</v>
      </c>
      <c r="I660">
        <v>2</v>
      </c>
      <c r="J660" s="2">
        <v>318.22000000000003</v>
      </c>
    </row>
    <row r="661" spans="1:10" x14ac:dyDescent="0.25">
      <c r="A661" t="s">
        <v>721</v>
      </c>
      <c r="B661" s="16">
        <v>45979</v>
      </c>
      <c r="C661" t="s">
        <v>25</v>
      </c>
      <c r="D661" t="s">
        <v>35</v>
      </c>
      <c r="E661" t="s">
        <v>13</v>
      </c>
      <c r="F661" t="s">
        <v>28</v>
      </c>
      <c r="G661" t="s">
        <v>15</v>
      </c>
      <c r="H661" s="2">
        <v>194</v>
      </c>
      <c r="I661">
        <v>5</v>
      </c>
      <c r="J661" s="2">
        <v>970</v>
      </c>
    </row>
    <row r="662" spans="1:10" x14ac:dyDescent="0.25">
      <c r="A662" t="s">
        <v>722</v>
      </c>
      <c r="B662" s="16">
        <v>45702</v>
      </c>
      <c r="C662" t="s">
        <v>25</v>
      </c>
      <c r="D662" t="s">
        <v>31</v>
      </c>
      <c r="E662" t="s">
        <v>18</v>
      </c>
      <c r="F662" t="s">
        <v>32</v>
      </c>
      <c r="G662" t="s">
        <v>36</v>
      </c>
      <c r="H662" s="2">
        <v>124.97</v>
      </c>
      <c r="I662">
        <v>13</v>
      </c>
      <c r="J662" s="2">
        <v>1624.61</v>
      </c>
    </row>
    <row r="663" spans="1:10" x14ac:dyDescent="0.25">
      <c r="A663" t="s">
        <v>723</v>
      </c>
      <c r="B663" s="16">
        <v>45924</v>
      </c>
      <c r="C663" t="s">
        <v>11</v>
      </c>
      <c r="D663" t="s">
        <v>12</v>
      </c>
      <c r="E663" t="s">
        <v>18</v>
      </c>
      <c r="F663" t="s">
        <v>42</v>
      </c>
      <c r="G663" t="s">
        <v>20</v>
      </c>
      <c r="H663" s="2">
        <v>58.07</v>
      </c>
      <c r="I663">
        <v>15</v>
      </c>
      <c r="J663" s="2">
        <v>871.05</v>
      </c>
    </row>
    <row r="664" spans="1:10" x14ac:dyDescent="0.25">
      <c r="A664" t="s">
        <v>724</v>
      </c>
      <c r="B664" s="16">
        <v>45872</v>
      </c>
      <c r="C664" t="s">
        <v>38</v>
      </c>
      <c r="D664" t="s">
        <v>26</v>
      </c>
      <c r="E664" t="s">
        <v>23</v>
      </c>
      <c r="F664" t="s">
        <v>42</v>
      </c>
      <c r="G664" t="s">
        <v>20</v>
      </c>
      <c r="H664" s="2">
        <v>92.43</v>
      </c>
      <c r="I664">
        <v>4</v>
      </c>
      <c r="J664" s="2">
        <v>369.72</v>
      </c>
    </row>
    <row r="665" spans="1:10" x14ac:dyDescent="0.25">
      <c r="A665" t="s">
        <v>725</v>
      </c>
      <c r="B665" s="16">
        <v>45956</v>
      </c>
      <c r="C665" t="s">
        <v>11</v>
      </c>
      <c r="D665" t="s">
        <v>55</v>
      </c>
      <c r="E665" t="s">
        <v>45</v>
      </c>
      <c r="F665" t="s">
        <v>39</v>
      </c>
      <c r="G665" t="s">
        <v>36</v>
      </c>
      <c r="H665" s="2">
        <v>109.88</v>
      </c>
      <c r="I665">
        <v>4</v>
      </c>
      <c r="J665" s="2">
        <v>439.52</v>
      </c>
    </row>
    <row r="666" spans="1:10" x14ac:dyDescent="0.25">
      <c r="A666" t="s">
        <v>726</v>
      </c>
      <c r="B666" s="16">
        <v>45932</v>
      </c>
      <c r="C666" t="s">
        <v>38</v>
      </c>
      <c r="D666" t="s">
        <v>35</v>
      </c>
      <c r="E666" t="s">
        <v>41</v>
      </c>
      <c r="F666" t="s">
        <v>28</v>
      </c>
      <c r="G666" t="s">
        <v>36</v>
      </c>
      <c r="H666" s="2">
        <v>172.1</v>
      </c>
      <c r="I666">
        <v>12</v>
      </c>
      <c r="J666" s="2">
        <v>2065.1999999999998</v>
      </c>
    </row>
    <row r="667" spans="1:10" x14ac:dyDescent="0.25">
      <c r="A667" t="s">
        <v>727</v>
      </c>
      <c r="B667" s="16">
        <v>45950</v>
      </c>
      <c r="C667" t="s">
        <v>38</v>
      </c>
      <c r="D667" t="s">
        <v>22</v>
      </c>
      <c r="E667" t="s">
        <v>23</v>
      </c>
      <c r="F667" t="s">
        <v>32</v>
      </c>
      <c r="G667" t="s">
        <v>36</v>
      </c>
      <c r="H667" s="2">
        <v>155.57</v>
      </c>
      <c r="I667">
        <v>20</v>
      </c>
      <c r="J667" s="2">
        <v>3111.4</v>
      </c>
    </row>
    <row r="668" spans="1:10" x14ac:dyDescent="0.25">
      <c r="A668" t="s">
        <v>728</v>
      </c>
      <c r="B668" s="16">
        <v>45731</v>
      </c>
      <c r="C668" t="s">
        <v>25</v>
      </c>
      <c r="D668" t="s">
        <v>12</v>
      </c>
      <c r="E668" t="s">
        <v>27</v>
      </c>
      <c r="F668" t="s">
        <v>61</v>
      </c>
      <c r="G668" t="s">
        <v>15</v>
      </c>
      <c r="H668" s="2">
        <v>108.34</v>
      </c>
      <c r="I668">
        <v>20</v>
      </c>
      <c r="J668" s="2">
        <v>2166.8000000000002</v>
      </c>
    </row>
    <row r="669" spans="1:10" x14ac:dyDescent="0.25">
      <c r="A669" t="s">
        <v>729</v>
      </c>
      <c r="B669" s="16">
        <v>45860</v>
      </c>
      <c r="C669" t="s">
        <v>17</v>
      </c>
      <c r="D669" t="s">
        <v>26</v>
      </c>
      <c r="E669" t="s">
        <v>45</v>
      </c>
      <c r="F669" t="s">
        <v>28</v>
      </c>
      <c r="G669" t="s">
        <v>36</v>
      </c>
      <c r="H669" s="2">
        <v>247.03</v>
      </c>
      <c r="I669">
        <v>11</v>
      </c>
      <c r="J669" s="2">
        <v>2717.33</v>
      </c>
    </row>
    <row r="670" spans="1:10" x14ac:dyDescent="0.25">
      <c r="A670" t="s">
        <v>730</v>
      </c>
      <c r="B670" s="16">
        <v>45795</v>
      </c>
      <c r="C670" t="s">
        <v>11</v>
      </c>
      <c r="D670" t="s">
        <v>35</v>
      </c>
      <c r="E670" t="s">
        <v>13</v>
      </c>
      <c r="F670" t="s">
        <v>32</v>
      </c>
      <c r="G670" t="s">
        <v>36</v>
      </c>
      <c r="H670" s="2">
        <v>163.27000000000001</v>
      </c>
      <c r="I670">
        <v>12</v>
      </c>
      <c r="J670" s="2">
        <v>1959.24</v>
      </c>
    </row>
    <row r="671" spans="1:10" x14ac:dyDescent="0.25">
      <c r="A671" t="s">
        <v>731</v>
      </c>
      <c r="B671" s="16">
        <v>45909</v>
      </c>
      <c r="C671" t="s">
        <v>30</v>
      </c>
      <c r="D671" t="s">
        <v>26</v>
      </c>
      <c r="E671" t="s">
        <v>13</v>
      </c>
      <c r="F671" t="s">
        <v>28</v>
      </c>
      <c r="G671" t="s">
        <v>36</v>
      </c>
      <c r="H671" s="2">
        <v>82.19</v>
      </c>
      <c r="I671">
        <v>4</v>
      </c>
      <c r="J671" s="2">
        <v>328.76</v>
      </c>
    </row>
    <row r="672" spans="1:10" x14ac:dyDescent="0.25">
      <c r="A672" t="s">
        <v>732</v>
      </c>
      <c r="B672" s="16">
        <v>45822</v>
      </c>
      <c r="C672" t="s">
        <v>17</v>
      </c>
      <c r="D672" t="s">
        <v>31</v>
      </c>
      <c r="E672" t="s">
        <v>18</v>
      </c>
      <c r="F672" t="s">
        <v>28</v>
      </c>
      <c r="G672" t="s">
        <v>15</v>
      </c>
      <c r="H672" s="2">
        <v>52.39</v>
      </c>
      <c r="I672">
        <v>9</v>
      </c>
      <c r="J672" s="2">
        <v>471.51</v>
      </c>
    </row>
    <row r="673" spans="1:10" x14ac:dyDescent="0.25">
      <c r="A673" t="s">
        <v>733</v>
      </c>
      <c r="B673" s="16">
        <v>45754</v>
      </c>
      <c r="C673" t="s">
        <v>30</v>
      </c>
      <c r="D673" t="s">
        <v>31</v>
      </c>
      <c r="E673" t="s">
        <v>27</v>
      </c>
      <c r="F673" t="s">
        <v>61</v>
      </c>
      <c r="G673" t="s">
        <v>20</v>
      </c>
      <c r="H673" s="2">
        <v>63.63</v>
      </c>
      <c r="I673">
        <v>15</v>
      </c>
      <c r="J673" s="2">
        <v>954.45</v>
      </c>
    </row>
    <row r="674" spans="1:10" x14ac:dyDescent="0.25">
      <c r="A674" t="s">
        <v>734</v>
      </c>
      <c r="B674" s="16">
        <v>45849</v>
      </c>
      <c r="C674" t="s">
        <v>25</v>
      </c>
      <c r="D674" t="s">
        <v>26</v>
      </c>
      <c r="E674" t="s">
        <v>45</v>
      </c>
      <c r="F674" t="s">
        <v>32</v>
      </c>
      <c r="G674" t="s">
        <v>20</v>
      </c>
      <c r="H674" s="2">
        <v>84.11</v>
      </c>
      <c r="I674">
        <v>2</v>
      </c>
      <c r="J674" s="2">
        <v>168.22</v>
      </c>
    </row>
    <row r="675" spans="1:10" x14ac:dyDescent="0.25">
      <c r="A675" t="s">
        <v>735</v>
      </c>
      <c r="B675" s="16">
        <v>45917</v>
      </c>
      <c r="C675" t="s">
        <v>30</v>
      </c>
      <c r="D675" t="s">
        <v>55</v>
      </c>
      <c r="E675" t="s">
        <v>18</v>
      </c>
      <c r="F675" t="s">
        <v>19</v>
      </c>
      <c r="G675" t="s">
        <v>15</v>
      </c>
      <c r="H675" s="2">
        <v>65.349999999999994</v>
      </c>
      <c r="I675">
        <v>13</v>
      </c>
      <c r="J675" s="2">
        <v>849.55</v>
      </c>
    </row>
    <row r="676" spans="1:10" x14ac:dyDescent="0.25">
      <c r="A676" t="s">
        <v>736</v>
      </c>
      <c r="B676" s="16">
        <v>45756</v>
      </c>
      <c r="C676" t="s">
        <v>11</v>
      </c>
      <c r="D676" t="s">
        <v>26</v>
      </c>
      <c r="E676" t="s">
        <v>45</v>
      </c>
      <c r="F676" t="s">
        <v>61</v>
      </c>
      <c r="G676" t="s">
        <v>15</v>
      </c>
      <c r="H676" s="2">
        <v>71.040000000000006</v>
      </c>
      <c r="I676">
        <v>7</v>
      </c>
      <c r="J676" s="2">
        <v>497.28</v>
      </c>
    </row>
    <row r="677" spans="1:10" x14ac:dyDescent="0.25">
      <c r="A677" t="s">
        <v>737</v>
      </c>
      <c r="B677" s="16">
        <v>45842</v>
      </c>
      <c r="C677" t="s">
        <v>34</v>
      </c>
      <c r="D677" t="s">
        <v>35</v>
      </c>
      <c r="E677" t="s">
        <v>41</v>
      </c>
      <c r="F677" t="s">
        <v>42</v>
      </c>
      <c r="G677" t="s">
        <v>36</v>
      </c>
      <c r="H677" s="2">
        <v>92.72</v>
      </c>
      <c r="I677">
        <v>7</v>
      </c>
      <c r="J677" s="2">
        <v>649.04</v>
      </c>
    </row>
    <row r="678" spans="1:10" x14ac:dyDescent="0.25">
      <c r="A678" t="s">
        <v>738</v>
      </c>
      <c r="B678" s="16">
        <v>45983</v>
      </c>
      <c r="C678" t="s">
        <v>17</v>
      </c>
      <c r="D678" t="s">
        <v>22</v>
      </c>
      <c r="E678" t="s">
        <v>23</v>
      </c>
      <c r="F678" t="s">
        <v>32</v>
      </c>
      <c r="G678" t="s">
        <v>36</v>
      </c>
      <c r="H678" s="2">
        <v>68.14</v>
      </c>
      <c r="I678">
        <v>4</v>
      </c>
      <c r="J678" s="2">
        <v>272.56</v>
      </c>
    </row>
    <row r="679" spans="1:10" x14ac:dyDescent="0.25">
      <c r="A679" t="s">
        <v>739</v>
      </c>
      <c r="B679" s="16">
        <v>45962</v>
      </c>
      <c r="C679" t="s">
        <v>30</v>
      </c>
      <c r="D679" t="s">
        <v>31</v>
      </c>
      <c r="E679" t="s">
        <v>18</v>
      </c>
      <c r="F679" t="s">
        <v>42</v>
      </c>
      <c r="G679" t="s">
        <v>36</v>
      </c>
      <c r="H679" s="2">
        <v>227.29</v>
      </c>
      <c r="I679">
        <v>15</v>
      </c>
      <c r="J679" s="2">
        <v>3409.35</v>
      </c>
    </row>
    <row r="680" spans="1:10" x14ac:dyDescent="0.25">
      <c r="A680" t="s">
        <v>740</v>
      </c>
      <c r="B680" s="16">
        <v>45834</v>
      </c>
      <c r="C680" t="s">
        <v>34</v>
      </c>
      <c r="D680" t="s">
        <v>12</v>
      </c>
      <c r="E680" t="s">
        <v>27</v>
      </c>
      <c r="F680" t="s">
        <v>19</v>
      </c>
      <c r="G680" t="s">
        <v>36</v>
      </c>
      <c r="H680" s="2">
        <v>47.65</v>
      </c>
      <c r="I680">
        <v>6</v>
      </c>
      <c r="J680" s="2">
        <v>285.89999999999998</v>
      </c>
    </row>
    <row r="681" spans="1:10" x14ac:dyDescent="0.25">
      <c r="A681" t="s">
        <v>741</v>
      </c>
      <c r="B681" s="16">
        <v>45672</v>
      </c>
      <c r="C681" t="s">
        <v>11</v>
      </c>
      <c r="D681" t="s">
        <v>26</v>
      </c>
      <c r="E681" t="s">
        <v>18</v>
      </c>
      <c r="F681" t="s">
        <v>39</v>
      </c>
      <c r="G681" t="s">
        <v>15</v>
      </c>
      <c r="H681" s="2">
        <v>145.38999999999999</v>
      </c>
      <c r="I681">
        <v>13</v>
      </c>
      <c r="J681" s="2">
        <v>1890.07</v>
      </c>
    </row>
    <row r="682" spans="1:10" x14ac:dyDescent="0.25">
      <c r="A682" t="s">
        <v>742</v>
      </c>
      <c r="B682" s="16">
        <v>45771</v>
      </c>
      <c r="C682" t="s">
        <v>17</v>
      </c>
      <c r="D682" t="s">
        <v>26</v>
      </c>
      <c r="E682" t="s">
        <v>13</v>
      </c>
      <c r="F682" t="s">
        <v>28</v>
      </c>
      <c r="G682" t="s">
        <v>36</v>
      </c>
      <c r="H682" s="2">
        <v>120.29</v>
      </c>
      <c r="I682">
        <v>8</v>
      </c>
      <c r="J682" s="2">
        <v>962.32</v>
      </c>
    </row>
    <row r="683" spans="1:10" x14ac:dyDescent="0.25">
      <c r="A683" t="s">
        <v>743</v>
      </c>
      <c r="B683" s="16">
        <v>45920</v>
      </c>
      <c r="C683" t="s">
        <v>17</v>
      </c>
      <c r="D683" t="s">
        <v>22</v>
      </c>
      <c r="E683" t="s">
        <v>41</v>
      </c>
      <c r="F683" t="s">
        <v>14</v>
      </c>
      <c r="G683" t="s">
        <v>20</v>
      </c>
      <c r="H683" s="2">
        <v>246.12</v>
      </c>
      <c r="I683">
        <v>1</v>
      </c>
      <c r="J683" s="2">
        <v>246.12</v>
      </c>
    </row>
    <row r="684" spans="1:10" x14ac:dyDescent="0.25">
      <c r="A684" t="s">
        <v>744</v>
      </c>
      <c r="B684" s="16">
        <v>45746</v>
      </c>
      <c r="C684" t="s">
        <v>11</v>
      </c>
      <c r="D684" t="s">
        <v>26</v>
      </c>
      <c r="E684" t="s">
        <v>13</v>
      </c>
      <c r="F684" t="s">
        <v>42</v>
      </c>
      <c r="G684" t="s">
        <v>36</v>
      </c>
      <c r="H684" s="2">
        <v>54.65</v>
      </c>
      <c r="I684">
        <v>20</v>
      </c>
      <c r="J684" s="2">
        <v>1093</v>
      </c>
    </row>
    <row r="685" spans="1:10" x14ac:dyDescent="0.25">
      <c r="A685" t="s">
        <v>745</v>
      </c>
      <c r="B685" s="16">
        <v>46022</v>
      </c>
      <c r="C685" t="s">
        <v>38</v>
      </c>
      <c r="D685" t="s">
        <v>31</v>
      </c>
      <c r="E685" t="s">
        <v>13</v>
      </c>
      <c r="F685" t="s">
        <v>61</v>
      </c>
      <c r="G685" t="s">
        <v>36</v>
      </c>
      <c r="H685" s="2">
        <v>117.53</v>
      </c>
      <c r="I685">
        <v>9</v>
      </c>
      <c r="J685" s="2">
        <v>1057.77</v>
      </c>
    </row>
    <row r="686" spans="1:10" x14ac:dyDescent="0.25">
      <c r="A686" t="s">
        <v>746</v>
      </c>
      <c r="B686" s="16">
        <v>45769</v>
      </c>
      <c r="C686" t="s">
        <v>34</v>
      </c>
      <c r="D686" t="s">
        <v>12</v>
      </c>
      <c r="E686" t="s">
        <v>18</v>
      </c>
      <c r="F686" t="s">
        <v>39</v>
      </c>
      <c r="G686" t="s">
        <v>20</v>
      </c>
      <c r="H686" s="2">
        <v>243.28</v>
      </c>
      <c r="I686">
        <v>15</v>
      </c>
      <c r="J686" s="2">
        <v>3649.2</v>
      </c>
    </row>
    <row r="687" spans="1:10" x14ac:dyDescent="0.25">
      <c r="A687" t="s">
        <v>747</v>
      </c>
      <c r="B687" s="16">
        <v>45861</v>
      </c>
      <c r="C687" t="s">
        <v>11</v>
      </c>
      <c r="D687" t="s">
        <v>22</v>
      </c>
      <c r="E687" t="s">
        <v>18</v>
      </c>
      <c r="F687" t="s">
        <v>28</v>
      </c>
      <c r="G687" t="s">
        <v>36</v>
      </c>
      <c r="H687" s="2">
        <v>220.41</v>
      </c>
      <c r="I687">
        <v>19</v>
      </c>
      <c r="J687" s="2">
        <v>4187.79</v>
      </c>
    </row>
    <row r="688" spans="1:10" x14ac:dyDescent="0.25">
      <c r="A688" t="s">
        <v>748</v>
      </c>
      <c r="B688" s="16">
        <v>45945</v>
      </c>
      <c r="C688" t="s">
        <v>25</v>
      </c>
      <c r="D688" t="s">
        <v>35</v>
      </c>
      <c r="E688" t="s">
        <v>13</v>
      </c>
      <c r="F688" t="s">
        <v>28</v>
      </c>
      <c r="G688" t="s">
        <v>15</v>
      </c>
      <c r="H688" s="2">
        <v>209.76</v>
      </c>
      <c r="I688">
        <v>20</v>
      </c>
      <c r="J688" s="2">
        <v>4195.2</v>
      </c>
    </row>
    <row r="689" spans="1:10" x14ac:dyDescent="0.25">
      <c r="A689" t="s">
        <v>749</v>
      </c>
      <c r="B689" s="16">
        <v>45904</v>
      </c>
      <c r="C689" t="s">
        <v>34</v>
      </c>
      <c r="D689" t="s">
        <v>35</v>
      </c>
      <c r="E689" t="s">
        <v>27</v>
      </c>
      <c r="F689" t="s">
        <v>32</v>
      </c>
      <c r="G689" t="s">
        <v>36</v>
      </c>
      <c r="H689" s="2">
        <v>86.74</v>
      </c>
      <c r="I689">
        <v>3</v>
      </c>
      <c r="J689" s="2">
        <v>260.22000000000003</v>
      </c>
    </row>
    <row r="690" spans="1:10" x14ac:dyDescent="0.25">
      <c r="A690" t="s">
        <v>750</v>
      </c>
      <c r="B690" s="16">
        <v>45791</v>
      </c>
      <c r="C690" t="s">
        <v>30</v>
      </c>
      <c r="D690" t="s">
        <v>26</v>
      </c>
      <c r="E690" t="s">
        <v>18</v>
      </c>
      <c r="F690" t="s">
        <v>39</v>
      </c>
      <c r="G690" t="s">
        <v>15</v>
      </c>
      <c r="H690" s="2">
        <v>67.599999999999994</v>
      </c>
      <c r="I690">
        <v>10</v>
      </c>
      <c r="J690" s="2">
        <v>676</v>
      </c>
    </row>
    <row r="691" spans="1:10" x14ac:dyDescent="0.25">
      <c r="A691" t="s">
        <v>751</v>
      </c>
      <c r="B691" s="16">
        <v>45687</v>
      </c>
      <c r="C691" t="s">
        <v>38</v>
      </c>
      <c r="D691" t="s">
        <v>12</v>
      </c>
      <c r="E691" t="s">
        <v>13</v>
      </c>
      <c r="F691" t="s">
        <v>28</v>
      </c>
      <c r="G691" t="s">
        <v>15</v>
      </c>
      <c r="H691" s="2">
        <v>177.1</v>
      </c>
      <c r="I691">
        <v>20</v>
      </c>
      <c r="J691" s="2">
        <v>3542</v>
      </c>
    </row>
    <row r="692" spans="1:10" x14ac:dyDescent="0.25">
      <c r="A692" t="s">
        <v>752</v>
      </c>
      <c r="B692" s="16">
        <v>45671</v>
      </c>
      <c r="C692" t="s">
        <v>34</v>
      </c>
      <c r="D692" t="s">
        <v>35</v>
      </c>
      <c r="E692" t="s">
        <v>41</v>
      </c>
      <c r="F692" t="s">
        <v>61</v>
      </c>
      <c r="G692" t="s">
        <v>36</v>
      </c>
      <c r="H692" s="2">
        <v>234.46</v>
      </c>
      <c r="I692">
        <v>16</v>
      </c>
      <c r="J692" s="2">
        <v>3751.36</v>
      </c>
    </row>
    <row r="693" spans="1:10" x14ac:dyDescent="0.25">
      <c r="A693" t="s">
        <v>753</v>
      </c>
      <c r="B693" s="16">
        <v>45676</v>
      </c>
      <c r="C693" t="s">
        <v>17</v>
      </c>
      <c r="D693" t="s">
        <v>55</v>
      </c>
      <c r="E693" t="s">
        <v>23</v>
      </c>
      <c r="F693" t="s">
        <v>32</v>
      </c>
      <c r="G693" t="s">
        <v>20</v>
      </c>
      <c r="H693" s="2">
        <v>152.49</v>
      </c>
      <c r="I693">
        <v>19</v>
      </c>
      <c r="J693" s="2">
        <v>2897.31</v>
      </c>
    </row>
    <row r="694" spans="1:10" x14ac:dyDescent="0.25">
      <c r="A694" t="s">
        <v>754</v>
      </c>
      <c r="B694" s="16">
        <v>45771</v>
      </c>
      <c r="C694" t="s">
        <v>17</v>
      </c>
      <c r="D694" t="s">
        <v>31</v>
      </c>
      <c r="E694" t="s">
        <v>27</v>
      </c>
      <c r="F694" t="s">
        <v>32</v>
      </c>
      <c r="G694" t="s">
        <v>20</v>
      </c>
      <c r="H694" s="2">
        <v>155.75</v>
      </c>
      <c r="I694">
        <v>18</v>
      </c>
      <c r="J694" s="2">
        <v>2803.5</v>
      </c>
    </row>
    <row r="695" spans="1:10" x14ac:dyDescent="0.25">
      <c r="A695" t="s">
        <v>755</v>
      </c>
      <c r="B695" s="16">
        <v>45811</v>
      </c>
      <c r="C695" t="s">
        <v>17</v>
      </c>
      <c r="D695" t="s">
        <v>55</v>
      </c>
      <c r="E695" t="s">
        <v>23</v>
      </c>
      <c r="F695" t="s">
        <v>32</v>
      </c>
      <c r="G695" t="s">
        <v>15</v>
      </c>
      <c r="H695" s="2">
        <v>91.6</v>
      </c>
      <c r="I695">
        <v>6</v>
      </c>
      <c r="J695" s="2">
        <v>549.6</v>
      </c>
    </row>
    <row r="696" spans="1:10" x14ac:dyDescent="0.25">
      <c r="A696" t="s">
        <v>756</v>
      </c>
      <c r="B696" s="16">
        <v>45899</v>
      </c>
      <c r="C696" t="s">
        <v>17</v>
      </c>
      <c r="D696" t="s">
        <v>35</v>
      </c>
      <c r="E696" t="s">
        <v>27</v>
      </c>
      <c r="F696" t="s">
        <v>39</v>
      </c>
      <c r="G696" t="s">
        <v>20</v>
      </c>
      <c r="H696" s="2">
        <v>199.29</v>
      </c>
      <c r="I696">
        <v>5</v>
      </c>
      <c r="J696" s="2">
        <v>996.45</v>
      </c>
    </row>
    <row r="697" spans="1:10" x14ac:dyDescent="0.25">
      <c r="A697" t="s">
        <v>757</v>
      </c>
      <c r="B697" s="16">
        <v>45751</v>
      </c>
      <c r="C697" t="s">
        <v>17</v>
      </c>
      <c r="D697" t="s">
        <v>22</v>
      </c>
      <c r="E697" t="s">
        <v>23</v>
      </c>
      <c r="F697" t="s">
        <v>32</v>
      </c>
      <c r="G697" t="s">
        <v>15</v>
      </c>
      <c r="H697" s="2">
        <v>71.150000000000006</v>
      </c>
      <c r="I697">
        <v>11</v>
      </c>
      <c r="J697" s="2">
        <v>782.65</v>
      </c>
    </row>
    <row r="698" spans="1:10" x14ac:dyDescent="0.25">
      <c r="A698" t="s">
        <v>758</v>
      </c>
      <c r="B698" s="16">
        <v>45815</v>
      </c>
      <c r="C698" t="s">
        <v>34</v>
      </c>
      <c r="D698" t="s">
        <v>35</v>
      </c>
      <c r="E698" t="s">
        <v>13</v>
      </c>
      <c r="F698" t="s">
        <v>42</v>
      </c>
      <c r="G698" t="s">
        <v>36</v>
      </c>
      <c r="H698" s="2">
        <v>101.21</v>
      </c>
      <c r="I698">
        <v>14</v>
      </c>
      <c r="J698" s="2">
        <v>1416.94</v>
      </c>
    </row>
    <row r="699" spans="1:10" x14ac:dyDescent="0.25">
      <c r="A699" t="s">
        <v>759</v>
      </c>
      <c r="B699" s="16">
        <v>45895</v>
      </c>
      <c r="C699" t="s">
        <v>38</v>
      </c>
      <c r="D699" t="s">
        <v>22</v>
      </c>
      <c r="E699" t="s">
        <v>27</v>
      </c>
      <c r="F699" t="s">
        <v>42</v>
      </c>
      <c r="G699" t="s">
        <v>20</v>
      </c>
      <c r="H699" s="2">
        <v>123.6</v>
      </c>
      <c r="I699">
        <v>4</v>
      </c>
      <c r="J699" s="2">
        <v>494.4</v>
      </c>
    </row>
    <row r="700" spans="1:10" x14ac:dyDescent="0.25">
      <c r="A700" t="s">
        <v>760</v>
      </c>
      <c r="B700" s="16">
        <v>45975</v>
      </c>
      <c r="C700" t="s">
        <v>38</v>
      </c>
      <c r="D700" t="s">
        <v>26</v>
      </c>
      <c r="E700" t="s">
        <v>18</v>
      </c>
      <c r="F700" t="s">
        <v>19</v>
      </c>
      <c r="G700" t="s">
        <v>20</v>
      </c>
      <c r="H700" s="2">
        <v>141.66999999999999</v>
      </c>
      <c r="I700">
        <v>3</v>
      </c>
      <c r="J700" s="2">
        <v>425.01</v>
      </c>
    </row>
    <row r="701" spans="1:10" x14ac:dyDescent="0.25">
      <c r="A701" t="s">
        <v>761</v>
      </c>
      <c r="B701" s="16">
        <v>45853</v>
      </c>
      <c r="C701" t="s">
        <v>34</v>
      </c>
      <c r="D701" t="s">
        <v>31</v>
      </c>
      <c r="E701" t="s">
        <v>45</v>
      </c>
      <c r="F701" t="s">
        <v>39</v>
      </c>
      <c r="G701" t="s">
        <v>15</v>
      </c>
      <c r="H701" s="2">
        <v>83.33</v>
      </c>
      <c r="I701">
        <v>17</v>
      </c>
      <c r="J701" s="2">
        <v>1416.61</v>
      </c>
    </row>
    <row r="702" spans="1:10" x14ac:dyDescent="0.25">
      <c r="A702" t="s">
        <v>762</v>
      </c>
      <c r="B702" s="16">
        <v>45728</v>
      </c>
      <c r="C702" t="s">
        <v>34</v>
      </c>
      <c r="D702" t="s">
        <v>31</v>
      </c>
      <c r="E702" t="s">
        <v>18</v>
      </c>
      <c r="F702" t="s">
        <v>61</v>
      </c>
      <c r="G702" t="s">
        <v>15</v>
      </c>
      <c r="H702" s="2">
        <v>55.26</v>
      </c>
      <c r="I702">
        <v>7</v>
      </c>
      <c r="J702" s="2">
        <v>386.82</v>
      </c>
    </row>
    <row r="703" spans="1:10" x14ac:dyDescent="0.25">
      <c r="A703" t="s">
        <v>763</v>
      </c>
      <c r="B703" s="16">
        <v>45819</v>
      </c>
      <c r="C703" t="s">
        <v>11</v>
      </c>
      <c r="D703" t="s">
        <v>31</v>
      </c>
      <c r="E703" t="s">
        <v>13</v>
      </c>
      <c r="F703" t="s">
        <v>28</v>
      </c>
      <c r="G703" t="s">
        <v>15</v>
      </c>
      <c r="H703" s="2">
        <v>164.34</v>
      </c>
      <c r="I703">
        <v>6</v>
      </c>
      <c r="J703" s="2">
        <v>986.04</v>
      </c>
    </row>
    <row r="704" spans="1:10" x14ac:dyDescent="0.25">
      <c r="A704" t="s">
        <v>764</v>
      </c>
      <c r="B704" s="16">
        <v>45818</v>
      </c>
      <c r="C704" t="s">
        <v>11</v>
      </c>
      <c r="D704" t="s">
        <v>31</v>
      </c>
      <c r="E704" t="s">
        <v>13</v>
      </c>
      <c r="F704" t="s">
        <v>14</v>
      </c>
      <c r="G704" t="s">
        <v>15</v>
      </c>
      <c r="H704" s="2">
        <v>93.5</v>
      </c>
      <c r="I704">
        <v>2</v>
      </c>
      <c r="J704" s="2">
        <v>187</v>
      </c>
    </row>
    <row r="705" spans="1:10" x14ac:dyDescent="0.25">
      <c r="A705" t="s">
        <v>765</v>
      </c>
      <c r="B705" s="16">
        <v>45953</v>
      </c>
      <c r="C705" t="s">
        <v>38</v>
      </c>
      <c r="D705" t="s">
        <v>22</v>
      </c>
      <c r="E705" t="s">
        <v>23</v>
      </c>
      <c r="F705" t="s">
        <v>42</v>
      </c>
      <c r="G705" t="s">
        <v>36</v>
      </c>
      <c r="H705" s="2">
        <v>157.87</v>
      </c>
      <c r="I705">
        <v>6</v>
      </c>
      <c r="J705" s="2">
        <v>947.22</v>
      </c>
    </row>
    <row r="706" spans="1:10" x14ac:dyDescent="0.25">
      <c r="A706" t="s">
        <v>766</v>
      </c>
      <c r="B706" s="16">
        <v>45982</v>
      </c>
      <c r="C706" t="s">
        <v>38</v>
      </c>
      <c r="D706" t="s">
        <v>31</v>
      </c>
      <c r="E706" t="s">
        <v>41</v>
      </c>
      <c r="F706" t="s">
        <v>61</v>
      </c>
      <c r="G706" t="s">
        <v>15</v>
      </c>
      <c r="H706" s="2">
        <v>63.96</v>
      </c>
      <c r="I706">
        <v>14</v>
      </c>
      <c r="J706" s="2">
        <v>895.44</v>
      </c>
    </row>
    <row r="707" spans="1:10" x14ac:dyDescent="0.25">
      <c r="A707" t="s">
        <v>767</v>
      </c>
      <c r="B707" s="16">
        <v>45677</v>
      </c>
      <c r="C707" t="s">
        <v>30</v>
      </c>
      <c r="D707" t="s">
        <v>12</v>
      </c>
      <c r="E707" t="s">
        <v>13</v>
      </c>
      <c r="F707" t="s">
        <v>19</v>
      </c>
      <c r="G707" t="s">
        <v>36</v>
      </c>
      <c r="H707" s="2">
        <v>135.85</v>
      </c>
      <c r="I707">
        <v>18</v>
      </c>
      <c r="J707" s="2">
        <v>2445.3000000000002</v>
      </c>
    </row>
    <row r="708" spans="1:10" x14ac:dyDescent="0.25">
      <c r="A708" t="s">
        <v>768</v>
      </c>
      <c r="B708" s="16">
        <v>45929</v>
      </c>
      <c r="C708" t="s">
        <v>11</v>
      </c>
      <c r="D708" t="s">
        <v>12</v>
      </c>
      <c r="E708" t="s">
        <v>45</v>
      </c>
      <c r="F708" t="s">
        <v>28</v>
      </c>
      <c r="G708" t="s">
        <v>20</v>
      </c>
      <c r="H708" s="2">
        <v>147.16999999999999</v>
      </c>
      <c r="I708">
        <v>7</v>
      </c>
      <c r="J708" s="2">
        <v>1030.19</v>
      </c>
    </row>
    <row r="709" spans="1:10" x14ac:dyDescent="0.25">
      <c r="A709" t="s">
        <v>769</v>
      </c>
      <c r="B709" s="16">
        <v>45785</v>
      </c>
      <c r="C709" t="s">
        <v>17</v>
      </c>
      <c r="D709" t="s">
        <v>35</v>
      </c>
      <c r="E709" t="s">
        <v>13</v>
      </c>
      <c r="F709" t="s">
        <v>14</v>
      </c>
      <c r="G709" t="s">
        <v>15</v>
      </c>
      <c r="H709" s="2">
        <v>41.4</v>
      </c>
      <c r="I709">
        <v>8</v>
      </c>
      <c r="J709" s="2">
        <v>331.2</v>
      </c>
    </row>
    <row r="710" spans="1:10" x14ac:dyDescent="0.25">
      <c r="A710" t="s">
        <v>770</v>
      </c>
      <c r="B710" s="16">
        <v>45854</v>
      </c>
      <c r="C710" t="s">
        <v>25</v>
      </c>
      <c r="D710" t="s">
        <v>35</v>
      </c>
      <c r="E710" t="s">
        <v>23</v>
      </c>
      <c r="F710" t="s">
        <v>19</v>
      </c>
      <c r="G710" t="s">
        <v>15</v>
      </c>
      <c r="H710" s="2">
        <v>104.05</v>
      </c>
      <c r="I710">
        <v>17</v>
      </c>
      <c r="J710" s="2">
        <v>1768.85</v>
      </c>
    </row>
    <row r="711" spans="1:10" x14ac:dyDescent="0.25">
      <c r="A711" t="s">
        <v>771</v>
      </c>
      <c r="B711" s="16">
        <v>45810</v>
      </c>
      <c r="C711" t="s">
        <v>38</v>
      </c>
      <c r="D711" t="s">
        <v>12</v>
      </c>
      <c r="E711" t="s">
        <v>18</v>
      </c>
      <c r="F711" t="s">
        <v>42</v>
      </c>
      <c r="G711" t="s">
        <v>20</v>
      </c>
      <c r="H711" s="2">
        <v>59.57</v>
      </c>
      <c r="I711">
        <v>10</v>
      </c>
      <c r="J711" s="2">
        <v>595.70000000000005</v>
      </c>
    </row>
    <row r="712" spans="1:10" x14ac:dyDescent="0.25">
      <c r="A712" t="s">
        <v>772</v>
      </c>
      <c r="B712" s="16">
        <v>45830</v>
      </c>
      <c r="C712" t="s">
        <v>17</v>
      </c>
      <c r="D712" t="s">
        <v>26</v>
      </c>
      <c r="E712" t="s">
        <v>13</v>
      </c>
      <c r="F712" t="s">
        <v>61</v>
      </c>
      <c r="G712" t="s">
        <v>36</v>
      </c>
      <c r="H712" s="2">
        <v>43.94</v>
      </c>
      <c r="I712">
        <v>14</v>
      </c>
      <c r="J712" s="2">
        <v>615.16</v>
      </c>
    </row>
    <row r="713" spans="1:10" x14ac:dyDescent="0.25">
      <c r="A713" t="s">
        <v>773</v>
      </c>
      <c r="B713" s="16">
        <v>45754</v>
      </c>
      <c r="C713" t="s">
        <v>38</v>
      </c>
      <c r="D713" t="s">
        <v>22</v>
      </c>
      <c r="E713" t="s">
        <v>23</v>
      </c>
      <c r="F713" t="s">
        <v>14</v>
      </c>
      <c r="G713" t="s">
        <v>20</v>
      </c>
      <c r="H713" s="2">
        <v>247.79</v>
      </c>
      <c r="I713">
        <v>6</v>
      </c>
      <c r="J713" s="2">
        <v>1486.74</v>
      </c>
    </row>
    <row r="714" spans="1:10" x14ac:dyDescent="0.25">
      <c r="A714" t="s">
        <v>774</v>
      </c>
      <c r="B714" s="16">
        <v>45725</v>
      </c>
      <c r="C714" t="s">
        <v>17</v>
      </c>
      <c r="D714" t="s">
        <v>22</v>
      </c>
      <c r="E714" t="s">
        <v>18</v>
      </c>
      <c r="F714" t="s">
        <v>42</v>
      </c>
      <c r="G714" t="s">
        <v>15</v>
      </c>
      <c r="H714" s="2">
        <v>100.92</v>
      </c>
      <c r="I714">
        <v>7</v>
      </c>
      <c r="J714" s="2">
        <v>706.44</v>
      </c>
    </row>
    <row r="715" spans="1:10" x14ac:dyDescent="0.25">
      <c r="A715" t="s">
        <v>775</v>
      </c>
      <c r="B715" s="16">
        <v>45721</v>
      </c>
      <c r="C715" t="s">
        <v>17</v>
      </c>
      <c r="D715" t="s">
        <v>12</v>
      </c>
      <c r="E715" t="s">
        <v>45</v>
      </c>
      <c r="F715" t="s">
        <v>61</v>
      </c>
      <c r="G715" t="s">
        <v>20</v>
      </c>
      <c r="H715" s="2">
        <v>208.17</v>
      </c>
      <c r="I715">
        <v>12</v>
      </c>
      <c r="J715" s="2">
        <v>2498.04</v>
      </c>
    </row>
    <row r="716" spans="1:10" x14ac:dyDescent="0.25">
      <c r="A716" t="s">
        <v>776</v>
      </c>
      <c r="B716" s="16">
        <v>45788</v>
      </c>
      <c r="C716" t="s">
        <v>25</v>
      </c>
      <c r="D716" t="s">
        <v>22</v>
      </c>
      <c r="E716" t="s">
        <v>18</v>
      </c>
      <c r="F716" t="s">
        <v>19</v>
      </c>
      <c r="G716" t="s">
        <v>20</v>
      </c>
      <c r="H716" s="2">
        <v>86.02</v>
      </c>
      <c r="I716">
        <v>18</v>
      </c>
      <c r="J716" s="2">
        <v>1548.36</v>
      </c>
    </row>
    <row r="717" spans="1:10" x14ac:dyDescent="0.25">
      <c r="A717" t="s">
        <v>777</v>
      </c>
      <c r="B717" s="16">
        <v>45713</v>
      </c>
      <c r="C717" t="s">
        <v>11</v>
      </c>
      <c r="D717" t="s">
        <v>12</v>
      </c>
      <c r="E717" t="s">
        <v>45</v>
      </c>
      <c r="F717" t="s">
        <v>61</v>
      </c>
      <c r="G717" t="s">
        <v>36</v>
      </c>
      <c r="H717" s="2">
        <v>179.93</v>
      </c>
      <c r="I717">
        <v>1</v>
      </c>
      <c r="J717" s="2">
        <v>179.93</v>
      </c>
    </row>
    <row r="718" spans="1:10" x14ac:dyDescent="0.25">
      <c r="A718" t="s">
        <v>778</v>
      </c>
      <c r="B718" s="16">
        <v>45852</v>
      </c>
      <c r="C718" t="s">
        <v>25</v>
      </c>
      <c r="D718" t="s">
        <v>35</v>
      </c>
      <c r="E718" t="s">
        <v>41</v>
      </c>
      <c r="F718" t="s">
        <v>28</v>
      </c>
      <c r="G718" t="s">
        <v>15</v>
      </c>
      <c r="H718" s="2">
        <v>197.25</v>
      </c>
      <c r="I718">
        <v>4</v>
      </c>
      <c r="J718" s="2">
        <v>789</v>
      </c>
    </row>
    <row r="719" spans="1:10" x14ac:dyDescent="0.25">
      <c r="A719" t="s">
        <v>779</v>
      </c>
      <c r="B719" s="16">
        <v>45763</v>
      </c>
      <c r="C719" t="s">
        <v>34</v>
      </c>
      <c r="D719" t="s">
        <v>31</v>
      </c>
      <c r="E719" t="s">
        <v>27</v>
      </c>
      <c r="F719" t="s">
        <v>19</v>
      </c>
      <c r="G719" t="s">
        <v>20</v>
      </c>
      <c r="H719" s="2">
        <v>161.04</v>
      </c>
      <c r="I719">
        <v>1</v>
      </c>
      <c r="J719" s="2">
        <v>161.04</v>
      </c>
    </row>
    <row r="720" spans="1:10" x14ac:dyDescent="0.25">
      <c r="A720" t="s">
        <v>780</v>
      </c>
      <c r="B720" s="16">
        <v>45924</v>
      </c>
      <c r="C720" t="s">
        <v>25</v>
      </c>
      <c r="D720" t="s">
        <v>55</v>
      </c>
      <c r="E720" t="s">
        <v>27</v>
      </c>
      <c r="F720" t="s">
        <v>14</v>
      </c>
      <c r="G720" t="s">
        <v>36</v>
      </c>
      <c r="H720" s="2">
        <v>133.75</v>
      </c>
      <c r="I720">
        <v>9</v>
      </c>
      <c r="J720" s="2">
        <v>1203.75</v>
      </c>
    </row>
    <row r="721" spans="1:10" x14ac:dyDescent="0.25">
      <c r="A721" t="s">
        <v>781</v>
      </c>
      <c r="B721" s="16">
        <v>45711</v>
      </c>
      <c r="C721" t="s">
        <v>17</v>
      </c>
      <c r="D721" t="s">
        <v>55</v>
      </c>
      <c r="E721" t="s">
        <v>45</v>
      </c>
      <c r="F721" t="s">
        <v>32</v>
      </c>
      <c r="G721" t="s">
        <v>15</v>
      </c>
      <c r="H721" s="2">
        <v>120.61</v>
      </c>
      <c r="I721">
        <v>17</v>
      </c>
      <c r="J721" s="2">
        <v>2050.37</v>
      </c>
    </row>
    <row r="722" spans="1:10" x14ac:dyDescent="0.25">
      <c r="A722" t="s">
        <v>782</v>
      </c>
      <c r="B722" s="16">
        <v>45712</v>
      </c>
      <c r="C722" t="s">
        <v>30</v>
      </c>
      <c r="D722" t="s">
        <v>55</v>
      </c>
      <c r="E722" t="s">
        <v>23</v>
      </c>
      <c r="F722" t="s">
        <v>39</v>
      </c>
      <c r="G722" t="s">
        <v>36</v>
      </c>
      <c r="H722" s="2">
        <v>106.75</v>
      </c>
      <c r="I722">
        <v>16</v>
      </c>
      <c r="J722" s="2">
        <v>1708</v>
      </c>
    </row>
    <row r="723" spans="1:10" x14ac:dyDescent="0.25">
      <c r="A723" t="s">
        <v>783</v>
      </c>
      <c r="B723" s="16">
        <v>45925</v>
      </c>
      <c r="C723" t="s">
        <v>34</v>
      </c>
      <c r="D723" t="s">
        <v>12</v>
      </c>
      <c r="E723" t="s">
        <v>41</v>
      </c>
      <c r="F723" t="s">
        <v>32</v>
      </c>
      <c r="G723" t="s">
        <v>15</v>
      </c>
      <c r="H723" s="2">
        <v>234.5</v>
      </c>
      <c r="I723">
        <v>7</v>
      </c>
      <c r="J723" s="2">
        <v>1641.5</v>
      </c>
    </row>
    <row r="724" spans="1:10" x14ac:dyDescent="0.25">
      <c r="A724" t="s">
        <v>784</v>
      </c>
      <c r="B724" s="16">
        <v>45678</v>
      </c>
      <c r="C724" t="s">
        <v>38</v>
      </c>
      <c r="D724" t="s">
        <v>26</v>
      </c>
      <c r="E724" t="s">
        <v>27</v>
      </c>
      <c r="F724" t="s">
        <v>61</v>
      </c>
      <c r="G724" t="s">
        <v>36</v>
      </c>
      <c r="H724" s="2">
        <v>212.74</v>
      </c>
      <c r="I724">
        <v>18</v>
      </c>
      <c r="J724" s="2">
        <v>3829.32</v>
      </c>
    </row>
    <row r="725" spans="1:10" x14ac:dyDescent="0.25">
      <c r="A725" t="s">
        <v>785</v>
      </c>
      <c r="B725" s="16">
        <v>45778</v>
      </c>
      <c r="C725" t="s">
        <v>11</v>
      </c>
      <c r="D725" t="s">
        <v>12</v>
      </c>
      <c r="E725" t="s">
        <v>45</v>
      </c>
      <c r="F725" t="s">
        <v>19</v>
      </c>
      <c r="G725" t="s">
        <v>20</v>
      </c>
      <c r="H725" s="2">
        <v>242.31</v>
      </c>
      <c r="I725">
        <v>1</v>
      </c>
      <c r="J725" s="2">
        <v>242.31</v>
      </c>
    </row>
    <row r="726" spans="1:10" x14ac:dyDescent="0.25">
      <c r="A726" t="s">
        <v>786</v>
      </c>
      <c r="B726" s="16">
        <v>46000</v>
      </c>
      <c r="C726" t="s">
        <v>30</v>
      </c>
      <c r="D726" t="s">
        <v>22</v>
      </c>
      <c r="E726" t="s">
        <v>18</v>
      </c>
      <c r="F726" t="s">
        <v>19</v>
      </c>
      <c r="G726" t="s">
        <v>20</v>
      </c>
      <c r="H726" s="2">
        <v>57.35</v>
      </c>
      <c r="I726">
        <v>16</v>
      </c>
      <c r="J726" s="2">
        <v>917.6</v>
      </c>
    </row>
    <row r="727" spans="1:10" x14ac:dyDescent="0.25">
      <c r="A727" t="s">
        <v>787</v>
      </c>
      <c r="B727" s="16">
        <v>45709</v>
      </c>
      <c r="C727" t="s">
        <v>17</v>
      </c>
      <c r="D727" t="s">
        <v>26</v>
      </c>
      <c r="E727" t="s">
        <v>41</v>
      </c>
      <c r="F727" t="s">
        <v>32</v>
      </c>
      <c r="G727" t="s">
        <v>36</v>
      </c>
      <c r="H727" s="2">
        <v>190.79</v>
      </c>
      <c r="I727">
        <v>9</v>
      </c>
      <c r="J727" s="2">
        <v>1717.11</v>
      </c>
    </row>
    <row r="728" spans="1:10" x14ac:dyDescent="0.25">
      <c r="A728" t="s">
        <v>788</v>
      </c>
      <c r="B728" s="16">
        <v>45895</v>
      </c>
      <c r="C728" t="s">
        <v>11</v>
      </c>
      <c r="D728" t="s">
        <v>26</v>
      </c>
      <c r="E728" t="s">
        <v>45</v>
      </c>
      <c r="F728" t="s">
        <v>39</v>
      </c>
      <c r="G728" t="s">
        <v>36</v>
      </c>
      <c r="H728" s="2">
        <v>236.43</v>
      </c>
      <c r="I728">
        <v>2</v>
      </c>
      <c r="J728" s="2">
        <v>472.86</v>
      </c>
    </row>
    <row r="729" spans="1:10" x14ac:dyDescent="0.25">
      <c r="A729" t="s">
        <v>789</v>
      </c>
      <c r="B729" s="16">
        <v>45842</v>
      </c>
      <c r="C729" t="s">
        <v>38</v>
      </c>
      <c r="D729" t="s">
        <v>12</v>
      </c>
      <c r="E729" t="s">
        <v>45</v>
      </c>
      <c r="F729" t="s">
        <v>19</v>
      </c>
      <c r="G729" t="s">
        <v>15</v>
      </c>
      <c r="H729" s="2">
        <v>69.87</v>
      </c>
      <c r="I729">
        <v>11</v>
      </c>
      <c r="J729" s="2">
        <v>768.57</v>
      </c>
    </row>
    <row r="730" spans="1:10" x14ac:dyDescent="0.25">
      <c r="A730" t="s">
        <v>790</v>
      </c>
      <c r="B730" s="16">
        <v>45662</v>
      </c>
      <c r="C730" t="s">
        <v>17</v>
      </c>
      <c r="D730" t="s">
        <v>12</v>
      </c>
      <c r="E730" t="s">
        <v>23</v>
      </c>
      <c r="F730" t="s">
        <v>32</v>
      </c>
      <c r="G730" t="s">
        <v>36</v>
      </c>
      <c r="H730" s="2">
        <v>44.63</v>
      </c>
      <c r="I730">
        <v>5</v>
      </c>
      <c r="J730" s="2">
        <v>223.15</v>
      </c>
    </row>
    <row r="731" spans="1:10" x14ac:dyDescent="0.25">
      <c r="A731" t="s">
        <v>791</v>
      </c>
      <c r="B731" s="16">
        <v>45882</v>
      </c>
      <c r="C731" t="s">
        <v>34</v>
      </c>
      <c r="D731" t="s">
        <v>12</v>
      </c>
      <c r="E731" t="s">
        <v>45</v>
      </c>
      <c r="F731" t="s">
        <v>32</v>
      </c>
      <c r="G731" t="s">
        <v>36</v>
      </c>
      <c r="H731" s="2">
        <v>193.05</v>
      </c>
      <c r="I731">
        <v>20</v>
      </c>
      <c r="J731" s="2">
        <v>3861</v>
      </c>
    </row>
    <row r="732" spans="1:10" x14ac:dyDescent="0.25">
      <c r="A732" t="s">
        <v>792</v>
      </c>
      <c r="B732" s="16">
        <v>45751</v>
      </c>
      <c r="C732" t="s">
        <v>38</v>
      </c>
      <c r="D732" t="s">
        <v>31</v>
      </c>
      <c r="E732" t="s">
        <v>41</v>
      </c>
      <c r="F732" t="s">
        <v>32</v>
      </c>
      <c r="G732" t="s">
        <v>36</v>
      </c>
      <c r="H732" s="2">
        <v>156.38</v>
      </c>
      <c r="I732">
        <v>4</v>
      </c>
      <c r="J732" s="2">
        <v>625.52</v>
      </c>
    </row>
    <row r="733" spans="1:10" x14ac:dyDescent="0.25">
      <c r="A733" t="s">
        <v>793</v>
      </c>
      <c r="B733" s="16">
        <v>46011</v>
      </c>
      <c r="C733" t="s">
        <v>38</v>
      </c>
      <c r="D733" t="s">
        <v>12</v>
      </c>
      <c r="E733" t="s">
        <v>23</v>
      </c>
      <c r="F733" t="s">
        <v>19</v>
      </c>
      <c r="G733" t="s">
        <v>15</v>
      </c>
      <c r="H733" s="2">
        <v>215.2</v>
      </c>
      <c r="I733">
        <v>16</v>
      </c>
      <c r="J733" s="2">
        <v>3443.2</v>
      </c>
    </row>
    <row r="734" spans="1:10" x14ac:dyDescent="0.25">
      <c r="A734" t="s">
        <v>794</v>
      </c>
      <c r="B734" s="16">
        <v>46014</v>
      </c>
      <c r="C734" t="s">
        <v>30</v>
      </c>
      <c r="D734" t="s">
        <v>22</v>
      </c>
      <c r="E734" t="s">
        <v>41</v>
      </c>
      <c r="F734" t="s">
        <v>42</v>
      </c>
      <c r="G734" t="s">
        <v>36</v>
      </c>
      <c r="H734" s="2">
        <v>60.75</v>
      </c>
      <c r="I734">
        <v>2</v>
      </c>
      <c r="J734" s="2">
        <v>121.5</v>
      </c>
    </row>
    <row r="735" spans="1:10" x14ac:dyDescent="0.25">
      <c r="A735" t="s">
        <v>795</v>
      </c>
      <c r="B735" s="16">
        <v>45949</v>
      </c>
      <c r="C735" t="s">
        <v>30</v>
      </c>
      <c r="D735" t="s">
        <v>55</v>
      </c>
      <c r="E735" t="s">
        <v>41</v>
      </c>
      <c r="F735" t="s">
        <v>39</v>
      </c>
      <c r="G735" t="s">
        <v>36</v>
      </c>
      <c r="H735" s="2">
        <v>204.96</v>
      </c>
      <c r="I735">
        <v>15</v>
      </c>
      <c r="J735" s="2">
        <v>3074.4</v>
      </c>
    </row>
    <row r="736" spans="1:10" x14ac:dyDescent="0.25">
      <c r="A736" t="s">
        <v>796</v>
      </c>
      <c r="B736" s="16">
        <v>45971</v>
      </c>
      <c r="C736" t="s">
        <v>17</v>
      </c>
      <c r="D736" t="s">
        <v>12</v>
      </c>
      <c r="E736" t="s">
        <v>23</v>
      </c>
      <c r="F736" t="s">
        <v>61</v>
      </c>
      <c r="G736" t="s">
        <v>36</v>
      </c>
      <c r="H736" s="2">
        <v>74.36</v>
      </c>
      <c r="I736">
        <v>1</v>
      </c>
      <c r="J736" s="2">
        <v>74.36</v>
      </c>
    </row>
    <row r="737" spans="1:10" x14ac:dyDescent="0.25">
      <c r="A737" t="s">
        <v>797</v>
      </c>
      <c r="B737" s="16">
        <v>45715</v>
      </c>
      <c r="C737" t="s">
        <v>38</v>
      </c>
      <c r="D737" t="s">
        <v>22</v>
      </c>
      <c r="E737" t="s">
        <v>45</v>
      </c>
      <c r="F737" t="s">
        <v>32</v>
      </c>
      <c r="G737" t="s">
        <v>20</v>
      </c>
      <c r="H737" s="2">
        <v>66</v>
      </c>
      <c r="I737">
        <v>14</v>
      </c>
      <c r="J737" s="2">
        <v>924</v>
      </c>
    </row>
    <row r="738" spans="1:10" x14ac:dyDescent="0.25">
      <c r="A738" t="s">
        <v>798</v>
      </c>
      <c r="B738" s="16">
        <v>45818</v>
      </c>
      <c r="C738" t="s">
        <v>17</v>
      </c>
      <c r="D738" t="s">
        <v>12</v>
      </c>
      <c r="E738" t="s">
        <v>18</v>
      </c>
      <c r="F738" t="s">
        <v>39</v>
      </c>
      <c r="G738" t="s">
        <v>20</v>
      </c>
      <c r="H738" s="2">
        <v>66.14</v>
      </c>
      <c r="I738">
        <v>1</v>
      </c>
      <c r="J738" s="2">
        <v>66.14</v>
      </c>
    </row>
    <row r="739" spans="1:10" x14ac:dyDescent="0.25">
      <c r="A739" t="s">
        <v>799</v>
      </c>
      <c r="B739" s="16">
        <v>45953</v>
      </c>
      <c r="C739" t="s">
        <v>30</v>
      </c>
      <c r="D739" t="s">
        <v>12</v>
      </c>
      <c r="E739" t="s">
        <v>13</v>
      </c>
      <c r="F739" t="s">
        <v>42</v>
      </c>
      <c r="G739" t="s">
        <v>20</v>
      </c>
      <c r="H739" s="2">
        <v>209.21</v>
      </c>
      <c r="I739">
        <v>19</v>
      </c>
      <c r="J739" s="2">
        <v>3974.99</v>
      </c>
    </row>
    <row r="740" spans="1:10" x14ac:dyDescent="0.25">
      <c r="A740" t="s">
        <v>800</v>
      </c>
      <c r="B740" s="16">
        <v>46010</v>
      </c>
      <c r="C740" t="s">
        <v>11</v>
      </c>
      <c r="D740" t="s">
        <v>31</v>
      </c>
      <c r="E740" t="s">
        <v>27</v>
      </c>
      <c r="F740" t="s">
        <v>28</v>
      </c>
      <c r="G740" t="s">
        <v>15</v>
      </c>
      <c r="H740" s="2">
        <v>176.34</v>
      </c>
      <c r="I740">
        <v>20</v>
      </c>
      <c r="J740" s="2">
        <v>3526.8</v>
      </c>
    </row>
    <row r="741" spans="1:10" x14ac:dyDescent="0.25">
      <c r="A741" t="s">
        <v>801</v>
      </c>
      <c r="B741" s="16">
        <v>45904</v>
      </c>
      <c r="C741" t="s">
        <v>17</v>
      </c>
      <c r="D741" t="s">
        <v>12</v>
      </c>
      <c r="E741" t="s">
        <v>27</v>
      </c>
      <c r="F741" t="s">
        <v>61</v>
      </c>
      <c r="G741" t="s">
        <v>15</v>
      </c>
      <c r="H741" s="2">
        <v>145.07</v>
      </c>
      <c r="I741">
        <v>12</v>
      </c>
      <c r="J741" s="2">
        <v>1740.84</v>
      </c>
    </row>
    <row r="742" spans="1:10" x14ac:dyDescent="0.25">
      <c r="A742" t="s">
        <v>802</v>
      </c>
      <c r="B742" s="16">
        <v>45943</v>
      </c>
      <c r="C742" t="s">
        <v>11</v>
      </c>
      <c r="D742" t="s">
        <v>22</v>
      </c>
      <c r="E742" t="s">
        <v>27</v>
      </c>
      <c r="F742" t="s">
        <v>14</v>
      </c>
      <c r="G742" t="s">
        <v>20</v>
      </c>
      <c r="H742" s="2">
        <v>108.94</v>
      </c>
      <c r="I742">
        <v>20</v>
      </c>
      <c r="J742" s="2">
        <v>2178.8000000000002</v>
      </c>
    </row>
    <row r="743" spans="1:10" x14ac:dyDescent="0.25">
      <c r="A743" t="s">
        <v>803</v>
      </c>
      <c r="B743" s="16">
        <v>45898</v>
      </c>
      <c r="C743" t="s">
        <v>30</v>
      </c>
      <c r="D743" t="s">
        <v>22</v>
      </c>
      <c r="E743" t="s">
        <v>41</v>
      </c>
      <c r="F743" t="s">
        <v>32</v>
      </c>
      <c r="G743" t="s">
        <v>15</v>
      </c>
      <c r="H743" s="2">
        <v>222.98</v>
      </c>
      <c r="I743">
        <v>16</v>
      </c>
      <c r="J743" s="2">
        <v>3567.68</v>
      </c>
    </row>
    <row r="744" spans="1:10" x14ac:dyDescent="0.25">
      <c r="A744" t="s">
        <v>804</v>
      </c>
      <c r="B744" s="16">
        <v>45827</v>
      </c>
      <c r="C744" t="s">
        <v>11</v>
      </c>
      <c r="D744" t="s">
        <v>55</v>
      </c>
      <c r="E744" t="s">
        <v>23</v>
      </c>
      <c r="F744" t="s">
        <v>42</v>
      </c>
      <c r="G744" t="s">
        <v>20</v>
      </c>
      <c r="H744" s="2">
        <v>116.34</v>
      </c>
      <c r="I744">
        <v>9</v>
      </c>
      <c r="J744" s="2">
        <v>1047.06</v>
      </c>
    </row>
    <row r="745" spans="1:10" x14ac:dyDescent="0.25">
      <c r="A745" t="s">
        <v>805</v>
      </c>
      <c r="B745" s="16">
        <v>45851</v>
      </c>
      <c r="C745" t="s">
        <v>30</v>
      </c>
      <c r="D745" t="s">
        <v>22</v>
      </c>
      <c r="E745" t="s">
        <v>41</v>
      </c>
      <c r="F745" t="s">
        <v>61</v>
      </c>
      <c r="G745" t="s">
        <v>20</v>
      </c>
      <c r="H745" s="2">
        <v>209.65</v>
      </c>
      <c r="I745">
        <v>13</v>
      </c>
      <c r="J745" s="2">
        <v>2725.45</v>
      </c>
    </row>
    <row r="746" spans="1:10" x14ac:dyDescent="0.25">
      <c r="A746" t="s">
        <v>806</v>
      </c>
      <c r="B746" s="16">
        <v>45887</v>
      </c>
      <c r="C746" t="s">
        <v>38</v>
      </c>
      <c r="D746" t="s">
        <v>31</v>
      </c>
      <c r="E746" t="s">
        <v>13</v>
      </c>
      <c r="F746" t="s">
        <v>19</v>
      </c>
      <c r="G746" t="s">
        <v>36</v>
      </c>
      <c r="H746" s="2">
        <v>126.61</v>
      </c>
      <c r="I746">
        <v>3</v>
      </c>
      <c r="J746" s="2">
        <v>379.83</v>
      </c>
    </row>
    <row r="747" spans="1:10" x14ac:dyDescent="0.25">
      <c r="A747" t="s">
        <v>807</v>
      </c>
      <c r="B747" s="16">
        <v>45992</v>
      </c>
      <c r="C747" t="s">
        <v>11</v>
      </c>
      <c r="D747" t="s">
        <v>31</v>
      </c>
      <c r="E747" t="s">
        <v>41</v>
      </c>
      <c r="F747" t="s">
        <v>19</v>
      </c>
      <c r="G747" t="s">
        <v>20</v>
      </c>
      <c r="H747" s="2">
        <v>112.93</v>
      </c>
      <c r="I747">
        <v>1</v>
      </c>
      <c r="J747" s="2">
        <v>112.93</v>
      </c>
    </row>
    <row r="748" spans="1:10" x14ac:dyDescent="0.25">
      <c r="A748" t="s">
        <v>808</v>
      </c>
      <c r="B748" s="16">
        <v>45939</v>
      </c>
      <c r="C748" t="s">
        <v>11</v>
      </c>
      <c r="D748" t="s">
        <v>55</v>
      </c>
      <c r="E748" t="s">
        <v>18</v>
      </c>
      <c r="F748" t="s">
        <v>28</v>
      </c>
      <c r="G748" t="s">
        <v>36</v>
      </c>
      <c r="H748" s="2">
        <v>131.79</v>
      </c>
      <c r="I748">
        <v>1</v>
      </c>
      <c r="J748" s="2">
        <v>131.79</v>
      </c>
    </row>
    <row r="749" spans="1:10" x14ac:dyDescent="0.25">
      <c r="A749" t="s">
        <v>809</v>
      </c>
      <c r="B749" s="16">
        <v>45918</v>
      </c>
      <c r="C749" t="s">
        <v>30</v>
      </c>
      <c r="D749" t="s">
        <v>12</v>
      </c>
      <c r="E749" t="s">
        <v>27</v>
      </c>
      <c r="F749" t="s">
        <v>61</v>
      </c>
      <c r="G749" t="s">
        <v>36</v>
      </c>
      <c r="H749" s="2">
        <v>96.3</v>
      </c>
      <c r="I749">
        <v>18</v>
      </c>
      <c r="J749" s="2">
        <v>1733.4</v>
      </c>
    </row>
    <row r="750" spans="1:10" x14ac:dyDescent="0.25">
      <c r="A750" t="s">
        <v>810</v>
      </c>
      <c r="B750" s="16">
        <v>45844</v>
      </c>
      <c r="C750" t="s">
        <v>30</v>
      </c>
      <c r="D750" t="s">
        <v>31</v>
      </c>
      <c r="E750" t="s">
        <v>13</v>
      </c>
      <c r="F750" t="s">
        <v>42</v>
      </c>
      <c r="G750" t="s">
        <v>20</v>
      </c>
      <c r="H750" s="2">
        <v>194.47</v>
      </c>
      <c r="I750">
        <v>2</v>
      </c>
      <c r="J750" s="2">
        <v>388.94</v>
      </c>
    </row>
    <row r="751" spans="1:10" x14ac:dyDescent="0.25">
      <c r="A751" t="s">
        <v>811</v>
      </c>
      <c r="B751" s="16">
        <v>45965</v>
      </c>
      <c r="C751" t="s">
        <v>17</v>
      </c>
      <c r="D751" t="s">
        <v>12</v>
      </c>
      <c r="E751" t="s">
        <v>13</v>
      </c>
      <c r="F751" t="s">
        <v>28</v>
      </c>
      <c r="G751" t="s">
        <v>36</v>
      </c>
      <c r="H751" s="2">
        <v>140.6</v>
      </c>
      <c r="I751">
        <v>16</v>
      </c>
      <c r="J751" s="2">
        <v>2249.6</v>
      </c>
    </row>
    <row r="752" spans="1:10" x14ac:dyDescent="0.25">
      <c r="A752" t="s">
        <v>812</v>
      </c>
      <c r="B752" s="16">
        <v>45716</v>
      </c>
      <c r="C752" t="s">
        <v>17</v>
      </c>
      <c r="D752" t="s">
        <v>26</v>
      </c>
      <c r="E752" t="s">
        <v>45</v>
      </c>
      <c r="F752" t="s">
        <v>32</v>
      </c>
      <c r="G752" t="s">
        <v>36</v>
      </c>
      <c r="H752" s="2">
        <v>81.09</v>
      </c>
      <c r="I752">
        <v>4</v>
      </c>
      <c r="J752" s="2">
        <v>324.36</v>
      </c>
    </row>
    <row r="753" spans="1:10" x14ac:dyDescent="0.25">
      <c r="A753" t="s">
        <v>813</v>
      </c>
      <c r="B753" s="16">
        <v>45982</v>
      </c>
      <c r="C753" t="s">
        <v>25</v>
      </c>
      <c r="D753" t="s">
        <v>55</v>
      </c>
      <c r="E753" t="s">
        <v>13</v>
      </c>
      <c r="F753" t="s">
        <v>28</v>
      </c>
      <c r="G753" t="s">
        <v>15</v>
      </c>
      <c r="H753" s="2">
        <v>227.91</v>
      </c>
      <c r="I753">
        <v>10</v>
      </c>
      <c r="J753" s="2">
        <v>2279.1</v>
      </c>
    </row>
    <row r="754" spans="1:10" x14ac:dyDescent="0.25">
      <c r="A754" t="s">
        <v>814</v>
      </c>
      <c r="B754" s="16">
        <v>45681</v>
      </c>
      <c r="C754" t="s">
        <v>38</v>
      </c>
      <c r="D754" t="s">
        <v>26</v>
      </c>
      <c r="E754" t="s">
        <v>27</v>
      </c>
      <c r="F754" t="s">
        <v>28</v>
      </c>
      <c r="G754" t="s">
        <v>20</v>
      </c>
      <c r="H754" s="2">
        <v>114.46</v>
      </c>
      <c r="I754">
        <v>6</v>
      </c>
      <c r="J754" s="2">
        <v>686.76</v>
      </c>
    </row>
    <row r="755" spans="1:10" x14ac:dyDescent="0.25">
      <c r="A755" t="s">
        <v>815</v>
      </c>
      <c r="B755" s="16">
        <v>45867</v>
      </c>
      <c r="C755" t="s">
        <v>34</v>
      </c>
      <c r="D755" t="s">
        <v>55</v>
      </c>
      <c r="E755" t="s">
        <v>23</v>
      </c>
      <c r="F755" t="s">
        <v>14</v>
      </c>
      <c r="G755" t="s">
        <v>15</v>
      </c>
      <c r="H755" s="2">
        <v>149.58000000000001</v>
      </c>
      <c r="I755">
        <v>4</v>
      </c>
      <c r="J755" s="2">
        <v>598.32000000000005</v>
      </c>
    </row>
    <row r="756" spans="1:10" x14ac:dyDescent="0.25">
      <c r="A756" t="s">
        <v>816</v>
      </c>
      <c r="B756" s="16">
        <v>45859</v>
      </c>
      <c r="C756" t="s">
        <v>38</v>
      </c>
      <c r="D756" t="s">
        <v>26</v>
      </c>
      <c r="E756" t="s">
        <v>27</v>
      </c>
      <c r="F756" t="s">
        <v>32</v>
      </c>
      <c r="G756" t="s">
        <v>15</v>
      </c>
      <c r="H756" s="2">
        <v>229.42</v>
      </c>
      <c r="I756">
        <v>7</v>
      </c>
      <c r="J756" s="2">
        <v>1605.94</v>
      </c>
    </row>
    <row r="757" spans="1:10" x14ac:dyDescent="0.25">
      <c r="A757" t="s">
        <v>817</v>
      </c>
      <c r="B757" s="16">
        <v>45870</v>
      </c>
      <c r="C757" t="s">
        <v>17</v>
      </c>
      <c r="D757" t="s">
        <v>12</v>
      </c>
      <c r="E757" t="s">
        <v>18</v>
      </c>
      <c r="F757" t="s">
        <v>19</v>
      </c>
      <c r="G757" t="s">
        <v>36</v>
      </c>
      <c r="H757" s="2">
        <v>167.33</v>
      </c>
      <c r="I757">
        <v>2</v>
      </c>
      <c r="J757" s="2">
        <v>334.66</v>
      </c>
    </row>
    <row r="758" spans="1:10" x14ac:dyDescent="0.25">
      <c r="A758" t="s">
        <v>818</v>
      </c>
      <c r="B758" s="16">
        <v>45892</v>
      </c>
      <c r="C758" t="s">
        <v>25</v>
      </c>
      <c r="D758" t="s">
        <v>26</v>
      </c>
      <c r="E758" t="s">
        <v>41</v>
      </c>
      <c r="F758" t="s">
        <v>19</v>
      </c>
      <c r="G758" t="s">
        <v>20</v>
      </c>
      <c r="H758" s="2">
        <v>55.72</v>
      </c>
      <c r="I758">
        <v>19</v>
      </c>
      <c r="J758" s="2">
        <v>1058.68</v>
      </c>
    </row>
    <row r="759" spans="1:10" x14ac:dyDescent="0.25">
      <c r="A759" t="s">
        <v>819</v>
      </c>
      <c r="B759" s="16">
        <v>45682</v>
      </c>
      <c r="C759" t="s">
        <v>38</v>
      </c>
      <c r="D759" t="s">
        <v>55</v>
      </c>
      <c r="E759" t="s">
        <v>41</v>
      </c>
      <c r="F759" t="s">
        <v>42</v>
      </c>
      <c r="G759" t="s">
        <v>15</v>
      </c>
      <c r="H759" s="2">
        <v>236.76</v>
      </c>
      <c r="I759">
        <v>18</v>
      </c>
      <c r="J759" s="2">
        <v>4261.68</v>
      </c>
    </row>
    <row r="760" spans="1:10" x14ac:dyDescent="0.25">
      <c r="A760" t="s">
        <v>820</v>
      </c>
      <c r="B760" s="16">
        <v>46012</v>
      </c>
      <c r="C760" t="s">
        <v>30</v>
      </c>
      <c r="D760" t="s">
        <v>12</v>
      </c>
      <c r="E760" t="s">
        <v>23</v>
      </c>
      <c r="F760" t="s">
        <v>19</v>
      </c>
      <c r="G760" t="s">
        <v>36</v>
      </c>
      <c r="H760" s="2">
        <v>168.1</v>
      </c>
      <c r="I760">
        <v>19</v>
      </c>
      <c r="J760" s="2">
        <v>3193.9</v>
      </c>
    </row>
    <row r="761" spans="1:10" x14ac:dyDescent="0.25">
      <c r="A761" t="s">
        <v>821</v>
      </c>
      <c r="B761" s="16">
        <v>45994</v>
      </c>
      <c r="C761" t="s">
        <v>25</v>
      </c>
      <c r="D761" t="s">
        <v>35</v>
      </c>
      <c r="E761" t="s">
        <v>18</v>
      </c>
      <c r="F761" t="s">
        <v>61</v>
      </c>
      <c r="G761" t="s">
        <v>36</v>
      </c>
      <c r="H761" s="2">
        <v>103.68</v>
      </c>
      <c r="I761">
        <v>20</v>
      </c>
      <c r="J761" s="2">
        <v>2073.6</v>
      </c>
    </row>
    <row r="762" spans="1:10" x14ac:dyDescent="0.25">
      <c r="A762" t="s">
        <v>822</v>
      </c>
      <c r="B762" s="16">
        <v>45969</v>
      </c>
      <c r="C762" t="s">
        <v>34</v>
      </c>
      <c r="D762" t="s">
        <v>31</v>
      </c>
      <c r="E762" t="s">
        <v>13</v>
      </c>
      <c r="F762" t="s">
        <v>32</v>
      </c>
      <c r="G762" t="s">
        <v>36</v>
      </c>
      <c r="H762" s="2">
        <v>60.64</v>
      </c>
      <c r="I762">
        <v>8</v>
      </c>
      <c r="J762" s="2">
        <v>485.12</v>
      </c>
    </row>
    <row r="763" spans="1:10" x14ac:dyDescent="0.25">
      <c r="A763" t="s">
        <v>823</v>
      </c>
      <c r="B763" s="16">
        <v>45726</v>
      </c>
      <c r="C763" t="s">
        <v>38</v>
      </c>
      <c r="D763" t="s">
        <v>55</v>
      </c>
      <c r="E763" t="s">
        <v>27</v>
      </c>
      <c r="F763" t="s">
        <v>28</v>
      </c>
      <c r="G763" t="s">
        <v>20</v>
      </c>
      <c r="H763" s="2">
        <v>204.69</v>
      </c>
      <c r="I763">
        <v>5</v>
      </c>
      <c r="J763" s="2">
        <v>1023.45</v>
      </c>
    </row>
    <row r="764" spans="1:10" x14ac:dyDescent="0.25">
      <c r="A764" t="s">
        <v>824</v>
      </c>
      <c r="B764" s="16">
        <v>45811</v>
      </c>
      <c r="C764" t="s">
        <v>34</v>
      </c>
      <c r="D764" t="s">
        <v>12</v>
      </c>
      <c r="E764" t="s">
        <v>27</v>
      </c>
      <c r="F764" t="s">
        <v>42</v>
      </c>
      <c r="G764" t="s">
        <v>20</v>
      </c>
      <c r="H764" s="2">
        <v>166.42</v>
      </c>
      <c r="I764">
        <v>18</v>
      </c>
      <c r="J764" s="2">
        <v>2995.56</v>
      </c>
    </row>
    <row r="765" spans="1:10" x14ac:dyDescent="0.25">
      <c r="A765" t="s">
        <v>825</v>
      </c>
      <c r="B765" s="16">
        <v>45769</v>
      </c>
      <c r="C765" t="s">
        <v>30</v>
      </c>
      <c r="D765" t="s">
        <v>55</v>
      </c>
      <c r="E765" t="s">
        <v>27</v>
      </c>
      <c r="F765" t="s">
        <v>32</v>
      </c>
      <c r="G765" t="s">
        <v>20</v>
      </c>
      <c r="H765" s="2">
        <v>147.36000000000001</v>
      </c>
      <c r="I765">
        <v>7</v>
      </c>
      <c r="J765" s="2">
        <v>1031.52</v>
      </c>
    </row>
    <row r="766" spans="1:10" x14ac:dyDescent="0.25">
      <c r="A766" t="s">
        <v>826</v>
      </c>
      <c r="B766" s="16">
        <v>45834</v>
      </c>
      <c r="C766" t="s">
        <v>17</v>
      </c>
      <c r="D766" t="s">
        <v>12</v>
      </c>
      <c r="E766" t="s">
        <v>23</v>
      </c>
      <c r="F766" t="s">
        <v>42</v>
      </c>
      <c r="G766" t="s">
        <v>20</v>
      </c>
      <c r="H766" s="2">
        <v>226.66</v>
      </c>
      <c r="I766">
        <v>5</v>
      </c>
      <c r="J766" s="2">
        <v>1133.3</v>
      </c>
    </row>
    <row r="767" spans="1:10" x14ac:dyDescent="0.25">
      <c r="A767" t="s">
        <v>827</v>
      </c>
      <c r="B767" s="16">
        <v>46013</v>
      </c>
      <c r="C767" t="s">
        <v>17</v>
      </c>
      <c r="D767" t="s">
        <v>22</v>
      </c>
      <c r="E767" t="s">
        <v>13</v>
      </c>
      <c r="F767" t="s">
        <v>42</v>
      </c>
      <c r="G767" t="s">
        <v>36</v>
      </c>
      <c r="H767" s="2">
        <v>203.49</v>
      </c>
      <c r="I767">
        <v>11</v>
      </c>
      <c r="J767" s="2">
        <v>2238.39</v>
      </c>
    </row>
    <row r="768" spans="1:10" x14ac:dyDescent="0.25">
      <c r="A768" t="s">
        <v>828</v>
      </c>
      <c r="B768" s="16">
        <v>45956</v>
      </c>
      <c r="C768" t="s">
        <v>17</v>
      </c>
      <c r="D768" t="s">
        <v>12</v>
      </c>
      <c r="E768" t="s">
        <v>41</v>
      </c>
      <c r="F768" t="s">
        <v>28</v>
      </c>
      <c r="G768" t="s">
        <v>20</v>
      </c>
      <c r="H768" s="2">
        <v>63.37</v>
      </c>
      <c r="I768">
        <v>19</v>
      </c>
      <c r="J768" s="2">
        <v>1204.03</v>
      </c>
    </row>
    <row r="769" spans="1:10" x14ac:dyDescent="0.25">
      <c r="A769" t="s">
        <v>829</v>
      </c>
      <c r="B769" s="16">
        <v>45931</v>
      </c>
      <c r="C769" t="s">
        <v>38</v>
      </c>
      <c r="D769" t="s">
        <v>22</v>
      </c>
      <c r="E769" t="s">
        <v>18</v>
      </c>
      <c r="F769" t="s">
        <v>19</v>
      </c>
      <c r="G769" t="s">
        <v>15</v>
      </c>
      <c r="H769" s="2">
        <v>98.58</v>
      </c>
      <c r="I769">
        <v>10</v>
      </c>
      <c r="J769" s="2">
        <v>985.8</v>
      </c>
    </row>
    <row r="770" spans="1:10" x14ac:dyDescent="0.25">
      <c r="A770" t="s">
        <v>830</v>
      </c>
      <c r="B770" s="16">
        <v>45853</v>
      </c>
      <c r="C770" t="s">
        <v>11</v>
      </c>
      <c r="D770" t="s">
        <v>12</v>
      </c>
      <c r="E770" t="s">
        <v>45</v>
      </c>
      <c r="F770" t="s">
        <v>14</v>
      </c>
      <c r="G770" t="s">
        <v>36</v>
      </c>
      <c r="H770" s="2">
        <v>84.67</v>
      </c>
      <c r="I770">
        <v>5</v>
      </c>
      <c r="J770" s="2">
        <v>423.35</v>
      </c>
    </row>
    <row r="771" spans="1:10" x14ac:dyDescent="0.25">
      <c r="A771" t="s">
        <v>831</v>
      </c>
      <c r="B771" s="16">
        <v>45740</v>
      </c>
      <c r="C771" t="s">
        <v>17</v>
      </c>
      <c r="D771" t="s">
        <v>35</v>
      </c>
      <c r="E771" t="s">
        <v>23</v>
      </c>
      <c r="F771" t="s">
        <v>39</v>
      </c>
      <c r="G771" t="s">
        <v>15</v>
      </c>
      <c r="H771" s="2">
        <v>193.67</v>
      </c>
      <c r="I771">
        <v>10</v>
      </c>
      <c r="J771" s="2">
        <v>1936.7</v>
      </c>
    </row>
    <row r="772" spans="1:10" x14ac:dyDescent="0.25">
      <c r="A772" t="s">
        <v>832</v>
      </c>
      <c r="B772" s="16">
        <v>46011</v>
      </c>
      <c r="C772" t="s">
        <v>30</v>
      </c>
      <c r="D772" t="s">
        <v>55</v>
      </c>
      <c r="E772" t="s">
        <v>45</v>
      </c>
      <c r="F772" t="s">
        <v>32</v>
      </c>
      <c r="G772" t="s">
        <v>36</v>
      </c>
      <c r="H772" s="2">
        <v>37.380000000000003</v>
      </c>
      <c r="I772">
        <v>10</v>
      </c>
      <c r="J772" s="2">
        <v>373.8</v>
      </c>
    </row>
    <row r="773" spans="1:10" x14ac:dyDescent="0.25">
      <c r="A773" t="s">
        <v>833</v>
      </c>
      <c r="B773" s="16">
        <v>45710</v>
      </c>
      <c r="C773" t="s">
        <v>17</v>
      </c>
      <c r="D773" t="s">
        <v>12</v>
      </c>
      <c r="E773" t="s">
        <v>18</v>
      </c>
      <c r="F773" t="s">
        <v>39</v>
      </c>
      <c r="G773" t="s">
        <v>15</v>
      </c>
      <c r="H773" s="2">
        <v>155.38</v>
      </c>
      <c r="I773">
        <v>20</v>
      </c>
      <c r="J773" s="2">
        <v>3107.6</v>
      </c>
    </row>
    <row r="774" spans="1:10" x14ac:dyDescent="0.25">
      <c r="A774" t="s">
        <v>834</v>
      </c>
      <c r="B774" s="16">
        <v>45989</v>
      </c>
      <c r="C774" t="s">
        <v>38</v>
      </c>
      <c r="D774" t="s">
        <v>26</v>
      </c>
      <c r="E774" t="s">
        <v>18</v>
      </c>
      <c r="F774" t="s">
        <v>39</v>
      </c>
      <c r="G774" t="s">
        <v>20</v>
      </c>
      <c r="H774" s="2">
        <v>197.74</v>
      </c>
      <c r="I774">
        <v>18</v>
      </c>
      <c r="J774" s="2">
        <v>3559.32</v>
      </c>
    </row>
    <row r="775" spans="1:10" x14ac:dyDescent="0.25">
      <c r="A775" t="s">
        <v>835</v>
      </c>
      <c r="B775" s="16">
        <v>45805</v>
      </c>
      <c r="C775" t="s">
        <v>38</v>
      </c>
      <c r="D775" t="s">
        <v>31</v>
      </c>
      <c r="E775" t="s">
        <v>41</v>
      </c>
      <c r="F775" t="s">
        <v>39</v>
      </c>
      <c r="G775" t="s">
        <v>20</v>
      </c>
      <c r="H775" s="2">
        <v>222.89</v>
      </c>
      <c r="I775">
        <v>2</v>
      </c>
      <c r="J775" s="2">
        <v>445.78</v>
      </c>
    </row>
    <row r="776" spans="1:10" x14ac:dyDescent="0.25">
      <c r="A776" t="s">
        <v>836</v>
      </c>
      <c r="B776" s="16">
        <v>45818</v>
      </c>
      <c r="C776" t="s">
        <v>11</v>
      </c>
      <c r="D776" t="s">
        <v>22</v>
      </c>
      <c r="E776" t="s">
        <v>27</v>
      </c>
      <c r="F776" t="s">
        <v>32</v>
      </c>
      <c r="G776" t="s">
        <v>15</v>
      </c>
      <c r="H776" s="2">
        <v>105.26</v>
      </c>
      <c r="I776">
        <v>18</v>
      </c>
      <c r="J776" s="2">
        <v>1894.68</v>
      </c>
    </row>
    <row r="777" spans="1:10" x14ac:dyDescent="0.25">
      <c r="A777" t="s">
        <v>837</v>
      </c>
      <c r="B777" s="16">
        <v>45975</v>
      </c>
      <c r="C777" t="s">
        <v>30</v>
      </c>
      <c r="D777" t="s">
        <v>12</v>
      </c>
      <c r="E777" t="s">
        <v>27</v>
      </c>
      <c r="F777" t="s">
        <v>28</v>
      </c>
      <c r="G777" t="s">
        <v>20</v>
      </c>
      <c r="H777" s="2">
        <v>210.68</v>
      </c>
      <c r="I777">
        <v>15</v>
      </c>
      <c r="J777" s="2">
        <v>3160.2</v>
      </c>
    </row>
    <row r="778" spans="1:10" x14ac:dyDescent="0.25">
      <c r="A778" t="s">
        <v>838</v>
      </c>
      <c r="B778" s="16">
        <v>45846</v>
      </c>
      <c r="C778" t="s">
        <v>25</v>
      </c>
      <c r="D778" t="s">
        <v>12</v>
      </c>
      <c r="E778" t="s">
        <v>18</v>
      </c>
      <c r="F778" t="s">
        <v>14</v>
      </c>
      <c r="G778" t="s">
        <v>20</v>
      </c>
      <c r="H778" s="2">
        <v>54.34</v>
      </c>
      <c r="I778">
        <v>19</v>
      </c>
      <c r="J778" s="2">
        <v>1032.46</v>
      </c>
    </row>
    <row r="779" spans="1:10" x14ac:dyDescent="0.25">
      <c r="A779" t="s">
        <v>839</v>
      </c>
      <c r="B779" s="16">
        <v>45757</v>
      </c>
      <c r="C779" t="s">
        <v>38</v>
      </c>
      <c r="D779" t="s">
        <v>26</v>
      </c>
      <c r="E779" t="s">
        <v>27</v>
      </c>
      <c r="F779" t="s">
        <v>19</v>
      </c>
      <c r="G779" t="s">
        <v>15</v>
      </c>
      <c r="H779" s="2">
        <v>216.22</v>
      </c>
      <c r="I779">
        <v>10</v>
      </c>
      <c r="J779" s="2">
        <v>2162.1999999999998</v>
      </c>
    </row>
    <row r="780" spans="1:10" x14ac:dyDescent="0.25">
      <c r="A780" t="s">
        <v>840</v>
      </c>
      <c r="B780" s="16">
        <v>45746</v>
      </c>
      <c r="C780" t="s">
        <v>11</v>
      </c>
      <c r="D780" t="s">
        <v>31</v>
      </c>
      <c r="E780" t="s">
        <v>45</v>
      </c>
      <c r="F780" t="s">
        <v>61</v>
      </c>
      <c r="G780" t="s">
        <v>36</v>
      </c>
      <c r="H780" s="2">
        <v>58.05</v>
      </c>
      <c r="I780">
        <v>17</v>
      </c>
      <c r="J780" s="2">
        <v>986.85</v>
      </c>
    </row>
    <row r="781" spans="1:10" x14ac:dyDescent="0.25">
      <c r="A781" t="s">
        <v>841</v>
      </c>
      <c r="B781" s="16">
        <v>45942</v>
      </c>
      <c r="C781" t="s">
        <v>30</v>
      </c>
      <c r="D781" t="s">
        <v>26</v>
      </c>
      <c r="E781" t="s">
        <v>18</v>
      </c>
      <c r="F781" t="s">
        <v>39</v>
      </c>
      <c r="G781" t="s">
        <v>36</v>
      </c>
      <c r="H781" s="2">
        <v>117.4</v>
      </c>
      <c r="I781">
        <v>9</v>
      </c>
      <c r="J781" s="2">
        <v>1056.5999999999999</v>
      </c>
    </row>
    <row r="782" spans="1:10" x14ac:dyDescent="0.25">
      <c r="A782" t="s">
        <v>842</v>
      </c>
      <c r="B782" s="16">
        <v>45660</v>
      </c>
      <c r="C782" t="s">
        <v>38</v>
      </c>
      <c r="D782" t="s">
        <v>12</v>
      </c>
      <c r="E782" t="s">
        <v>23</v>
      </c>
      <c r="F782" t="s">
        <v>19</v>
      </c>
      <c r="G782" t="s">
        <v>15</v>
      </c>
      <c r="H782" s="2">
        <v>205.4</v>
      </c>
      <c r="I782">
        <v>11</v>
      </c>
      <c r="J782" s="2">
        <v>2259.4</v>
      </c>
    </row>
    <row r="783" spans="1:10" x14ac:dyDescent="0.25">
      <c r="A783" t="s">
        <v>843</v>
      </c>
      <c r="B783" s="16">
        <v>45823</v>
      </c>
      <c r="C783" t="s">
        <v>11</v>
      </c>
      <c r="D783" t="s">
        <v>12</v>
      </c>
      <c r="E783" t="s">
        <v>18</v>
      </c>
      <c r="F783" t="s">
        <v>39</v>
      </c>
      <c r="G783" t="s">
        <v>20</v>
      </c>
      <c r="H783" s="2">
        <v>62.98</v>
      </c>
      <c r="I783">
        <v>20</v>
      </c>
      <c r="J783" s="2">
        <v>1259.5999999999999</v>
      </c>
    </row>
    <row r="784" spans="1:10" x14ac:dyDescent="0.25">
      <c r="A784" t="s">
        <v>844</v>
      </c>
      <c r="B784" s="16">
        <v>45812</v>
      </c>
      <c r="C784" t="s">
        <v>25</v>
      </c>
      <c r="D784" t="s">
        <v>55</v>
      </c>
      <c r="E784" t="s">
        <v>13</v>
      </c>
      <c r="F784" t="s">
        <v>19</v>
      </c>
      <c r="G784" t="s">
        <v>20</v>
      </c>
      <c r="H784" s="2">
        <v>80.44</v>
      </c>
      <c r="I784">
        <v>16</v>
      </c>
      <c r="J784" s="2">
        <v>1287.04</v>
      </c>
    </row>
    <row r="785" spans="1:10" x14ac:dyDescent="0.25">
      <c r="A785" t="s">
        <v>845</v>
      </c>
      <c r="B785" s="16">
        <v>45820</v>
      </c>
      <c r="C785" t="s">
        <v>30</v>
      </c>
      <c r="D785" t="s">
        <v>26</v>
      </c>
      <c r="E785" t="s">
        <v>18</v>
      </c>
      <c r="F785" t="s">
        <v>19</v>
      </c>
      <c r="G785" t="s">
        <v>20</v>
      </c>
      <c r="H785" s="2">
        <v>188.9</v>
      </c>
      <c r="I785">
        <v>17</v>
      </c>
      <c r="J785" s="2">
        <v>3211.3</v>
      </c>
    </row>
    <row r="786" spans="1:10" x14ac:dyDescent="0.25">
      <c r="A786" t="s">
        <v>846</v>
      </c>
      <c r="B786" s="16">
        <v>45739</v>
      </c>
      <c r="C786" t="s">
        <v>25</v>
      </c>
      <c r="D786" t="s">
        <v>55</v>
      </c>
      <c r="E786" t="s">
        <v>41</v>
      </c>
      <c r="F786" t="s">
        <v>19</v>
      </c>
      <c r="G786" t="s">
        <v>36</v>
      </c>
      <c r="H786" s="2">
        <v>188.41</v>
      </c>
      <c r="I786">
        <v>14</v>
      </c>
      <c r="J786" s="2">
        <v>2637.74</v>
      </c>
    </row>
    <row r="787" spans="1:10" x14ac:dyDescent="0.25">
      <c r="A787" t="s">
        <v>847</v>
      </c>
      <c r="B787" s="16">
        <v>45771</v>
      </c>
      <c r="C787" t="s">
        <v>17</v>
      </c>
      <c r="D787" t="s">
        <v>35</v>
      </c>
      <c r="E787" t="s">
        <v>13</v>
      </c>
      <c r="F787" t="s">
        <v>32</v>
      </c>
      <c r="G787" t="s">
        <v>36</v>
      </c>
      <c r="H787" s="2">
        <v>171.05</v>
      </c>
      <c r="I787">
        <v>7</v>
      </c>
      <c r="J787" s="2">
        <v>1197.3499999999999</v>
      </c>
    </row>
    <row r="788" spans="1:10" x14ac:dyDescent="0.25">
      <c r="A788" t="s">
        <v>848</v>
      </c>
      <c r="B788" s="16">
        <v>45769</v>
      </c>
      <c r="C788" t="s">
        <v>25</v>
      </c>
      <c r="D788" t="s">
        <v>31</v>
      </c>
      <c r="E788" t="s">
        <v>18</v>
      </c>
      <c r="F788" t="s">
        <v>39</v>
      </c>
      <c r="G788" t="s">
        <v>20</v>
      </c>
      <c r="H788" s="2">
        <v>182.67</v>
      </c>
      <c r="I788">
        <v>20</v>
      </c>
      <c r="J788" s="2">
        <v>3653.4</v>
      </c>
    </row>
    <row r="789" spans="1:10" x14ac:dyDescent="0.25">
      <c r="A789" t="s">
        <v>849</v>
      </c>
      <c r="B789" s="16">
        <v>45662</v>
      </c>
      <c r="C789" t="s">
        <v>17</v>
      </c>
      <c r="D789" t="s">
        <v>35</v>
      </c>
      <c r="E789" t="s">
        <v>41</v>
      </c>
      <c r="F789" t="s">
        <v>14</v>
      </c>
      <c r="G789" t="s">
        <v>20</v>
      </c>
      <c r="H789" s="2">
        <v>149.4</v>
      </c>
      <c r="I789">
        <v>4</v>
      </c>
      <c r="J789" s="2">
        <v>597.6</v>
      </c>
    </row>
    <row r="790" spans="1:10" x14ac:dyDescent="0.25">
      <c r="A790" t="s">
        <v>850</v>
      </c>
      <c r="B790" s="16">
        <v>45972</v>
      </c>
      <c r="C790" t="s">
        <v>30</v>
      </c>
      <c r="D790" t="s">
        <v>22</v>
      </c>
      <c r="E790" t="s">
        <v>27</v>
      </c>
      <c r="F790" t="s">
        <v>32</v>
      </c>
      <c r="G790" t="s">
        <v>36</v>
      </c>
      <c r="H790" s="2">
        <v>85.4</v>
      </c>
      <c r="I790">
        <v>20</v>
      </c>
      <c r="J790" s="2">
        <v>1708</v>
      </c>
    </row>
    <row r="791" spans="1:10" x14ac:dyDescent="0.25">
      <c r="A791" t="s">
        <v>851</v>
      </c>
      <c r="B791" s="16">
        <v>45716</v>
      </c>
      <c r="C791" t="s">
        <v>34</v>
      </c>
      <c r="D791" t="s">
        <v>55</v>
      </c>
      <c r="E791" t="s">
        <v>27</v>
      </c>
      <c r="F791" t="s">
        <v>32</v>
      </c>
      <c r="G791" t="s">
        <v>15</v>
      </c>
      <c r="H791" s="2">
        <v>106.05</v>
      </c>
      <c r="I791">
        <v>13</v>
      </c>
      <c r="J791" s="2">
        <v>1378.65</v>
      </c>
    </row>
    <row r="792" spans="1:10" x14ac:dyDescent="0.25">
      <c r="A792" t="s">
        <v>852</v>
      </c>
      <c r="B792" s="16">
        <v>45922</v>
      </c>
      <c r="C792" t="s">
        <v>25</v>
      </c>
      <c r="D792" t="s">
        <v>55</v>
      </c>
      <c r="E792" t="s">
        <v>41</v>
      </c>
      <c r="F792" t="s">
        <v>61</v>
      </c>
      <c r="G792" t="s">
        <v>15</v>
      </c>
      <c r="H792" s="2">
        <v>69.95</v>
      </c>
      <c r="I792">
        <v>12</v>
      </c>
      <c r="J792" s="2">
        <v>839.4</v>
      </c>
    </row>
    <row r="793" spans="1:10" x14ac:dyDescent="0.25">
      <c r="A793" t="s">
        <v>853</v>
      </c>
      <c r="B793" s="16">
        <v>45809</v>
      </c>
      <c r="C793" t="s">
        <v>34</v>
      </c>
      <c r="D793" t="s">
        <v>55</v>
      </c>
      <c r="E793" t="s">
        <v>45</v>
      </c>
      <c r="F793" t="s">
        <v>19</v>
      </c>
      <c r="G793" t="s">
        <v>15</v>
      </c>
      <c r="H793" s="2">
        <v>229.86</v>
      </c>
      <c r="I793">
        <v>7</v>
      </c>
      <c r="J793" s="2">
        <v>1609.02</v>
      </c>
    </row>
    <row r="794" spans="1:10" x14ac:dyDescent="0.25">
      <c r="A794" t="s">
        <v>854</v>
      </c>
      <c r="B794" s="16">
        <v>45933</v>
      </c>
      <c r="C794" t="s">
        <v>11</v>
      </c>
      <c r="D794" t="s">
        <v>12</v>
      </c>
      <c r="E794" t="s">
        <v>45</v>
      </c>
      <c r="F794" t="s">
        <v>14</v>
      </c>
      <c r="G794" t="s">
        <v>20</v>
      </c>
      <c r="H794" s="2">
        <v>158.35</v>
      </c>
      <c r="I794">
        <v>18</v>
      </c>
      <c r="J794" s="2">
        <v>2850.3</v>
      </c>
    </row>
    <row r="795" spans="1:10" x14ac:dyDescent="0.25">
      <c r="A795" t="s">
        <v>855</v>
      </c>
      <c r="B795" s="16">
        <v>45980</v>
      </c>
      <c r="C795" t="s">
        <v>17</v>
      </c>
      <c r="D795" t="s">
        <v>31</v>
      </c>
      <c r="E795" t="s">
        <v>45</v>
      </c>
      <c r="F795" t="s">
        <v>14</v>
      </c>
      <c r="G795" t="s">
        <v>20</v>
      </c>
      <c r="H795" s="2">
        <v>118.19</v>
      </c>
      <c r="I795">
        <v>7</v>
      </c>
      <c r="J795" s="2">
        <v>827.33</v>
      </c>
    </row>
    <row r="796" spans="1:10" x14ac:dyDescent="0.25">
      <c r="A796" t="s">
        <v>856</v>
      </c>
      <c r="B796" s="16">
        <v>46017</v>
      </c>
      <c r="C796" t="s">
        <v>17</v>
      </c>
      <c r="D796" t="s">
        <v>22</v>
      </c>
      <c r="E796" t="s">
        <v>27</v>
      </c>
      <c r="F796" t="s">
        <v>28</v>
      </c>
      <c r="G796" t="s">
        <v>15</v>
      </c>
      <c r="H796" s="2">
        <v>131.63999999999999</v>
      </c>
      <c r="I796">
        <v>14</v>
      </c>
      <c r="J796" s="2">
        <v>1842.96</v>
      </c>
    </row>
    <row r="797" spans="1:10" x14ac:dyDescent="0.25">
      <c r="A797" t="s">
        <v>857</v>
      </c>
      <c r="B797" s="16">
        <v>45670</v>
      </c>
      <c r="C797" t="s">
        <v>17</v>
      </c>
      <c r="D797" t="s">
        <v>35</v>
      </c>
      <c r="E797" t="s">
        <v>45</v>
      </c>
      <c r="F797" t="s">
        <v>19</v>
      </c>
      <c r="G797" t="s">
        <v>15</v>
      </c>
      <c r="H797" s="2">
        <v>238.4</v>
      </c>
      <c r="I797">
        <v>15</v>
      </c>
      <c r="J797" s="2">
        <v>3576</v>
      </c>
    </row>
    <row r="798" spans="1:10" x14ac:dyDescent="0.25">
      <c r="A798" t="s">
        <v>858</v>
      </c>
      <c r="B798" s="16">
        <v>45685</v>
      </c>
      <c r="C798" t="s">
        <v>34</v>
      </c>
      <c r="D798" t="s">
        <v>55</v>
      </c>
      <c r="E798" t="s">
        <v>45</v>
      </c>
      <c r="F798" t="s">
        <v>42</v>
      </c>
      <c r="G798" t="s">
        <v>15</v>
      </c>
      <c r="H798" s="2">
        <v>63.74</v>
      </c>
      <c r="I798">
        <v>6</v>
      </c>
      <c r="J798" s="2">
        <v>382.44</v>
      </c>
    </row>
    <row r="799" spans="1:10" x14ac:dyDescent="0.25">
      <c r="A799" t="s">
        <v>859</v>
      </c>
      <c r="B799" s="16">
        <v>45790</v>
      </c>
      <c r="C799" t="s">
        <v>38</v>
      </c>
      <c r="D799" t="s">
        <v>31</v>
      </c>
      <c r="E799" t="s">
        <v>27</v>
      </c>
      <c r="F799" t="s">
        <v>61</v>
      </c>
      <c r="G799" t="s">
        <v>36</v>
      </c>
      <c r="H799" s="2">
        <v>158.97</v>
      </c>
      <c r="I799">
        <v>14</v>
      </c>
      <c r="J799" s="2">
        <v>2225.58</v>
      </c>
    </row>
    <row r="800" spans="1:10" x14ac:dyDescent="0.25">
      <c r="A800" t="s">
        <v>860</v>
      </c>
      <c r="B800" s="16">
        <v>45819</v>
      </c>
      <c r="C800" t="s">
        <v>38</v>
      </c>
      <c r="D800" t="s">
        <v>12</v>
      </c>
      <c r="E800" t="s">
        <v>45</v>
      </c>
      <c r="F800" t="s">
        <v>42</v>
      </c>
      <c r="G800" t="s">
        <v>15</v>
      </c>
      <c r="H800" s="2">
        <v>141.30000000000001</v>
      </c>
      <c r="I800">
        <v>1</v>
      </c>
      <c r="J800" s="2">
        <v>141.30000000000001</v>
      </c>
    </row>
    <row r="801" spans="1:10" x14ac:dyDescent="0.25">
      <c r="A801" t="s">
        <v>861</v>
      </c>
      <c r="B801" s="16">
        <v>45986</v>
      </c>
      <c r="C801" t="s">
        <v>11</v>
      </c>
      <c r="D801" t="s">
        <v>12</v>
      </c>
      <c r="E801" t="s">
        <v>18</v>
      </c>
      <c r="F801" t="s">
        <v>19</v>
      </c>
      <c r="G801" t="s">
        <v>20</v>
      </c>
      <c r="H801" s="2">
        <v>164.52</v>
      </c>
      <c r="I801">
        <v>20</v>
      </c>
      <c r="J801" s="2">
        <v>3290.4</v>
      </c>
    </row>
    <row r="802" spans="1:10" x14ac:dyDescent="0.25">
      <c r="A802" t="s">
        <v>862</v>
      </c>
      <c r="B802" s="16">
        <v>45695</v>
      </c>
      <c r="C802" t="s">
        <v>25</v>
      </c>
      <c r="D802" t="s">
        <v>22</v>
      </c>
      <c r="E802" t="s">
        <v>13</v>
      </c>
      <c r="F802" t="s">
        <v>39</v>
      </c>
      <c r="G802" t="s">
        <v>20</v>
      </c>
      <c r="H802" s="2">
        <v>33.979999999999997</v>
      </c>
      <c r="I802">
        <v>12</v>
      </c>
      <c r="J802" s="2">
        <v>407.76</v>
      </c>
    </row>
    <row r="803" spans="1:10" x14ac:dyDescent="0.25">
      <c r="A803" t="s">
        <v>863</v>
      </c>
      <c r="B803" s="16">
        <v>45812</v>
      </c>
      <c r="C803" t="s">
        <v>11</v>
      </c>
      <c r="D803" t="s">
        <v>35</v>
      </c>
      <c r="E803" t="s">
        <v>41</v>
      </c>
      <c r="F803" t="s">
        <v>61</v>
      </c>
      <c r="G803" t="s">
        <v>36</v>
      </c>
      <c r="H803" s="2">
        <v>221.87</v>
      </c>
      <c r="I803">
        <v>20</v>
      </c>
      <c r="J803" s="2">
        <v>4437.3999999999996</v>
      </c>
    </row>
    <row r="804" spans="1:10" x14ac:dyDescent="0.25">
      <c r="A804" t="s">
        <v>864</v>
      </c>
      <c r="B804" s="16">
        <v>45996</v>
      </c>
      <c r="C804" t="s">
        <v>38</v>
      </c>
      <c r="D804" t="s">
        <v>26</v>
      </c>
      <c r="E804" t="s">
        <v>18</v>
      </c>
      <c r="F804" t="s">
        <v>14</v>
      </c>
      <c r="G804" t="s">
        <v>15</v>
      </c>
      <c r="H804" s="2">
        <v>235.07</v>
      </c>
      <c r="I804">
        <v>1</v>
      </c>
      <c r="J804" s="2">
        <v>235.07</v>
      </c>
    </row>
    <row r="805" spans="1:10" x14ac:dyDescent="0.25">
      <c r="A805" t="s">
        <v>865</v>
      </c>
      <c r="B805" s="16">
        <v>45858</v>
      </c>
      <c r="C805" t="s">
        <v>34</v>
      </c>
      <c r="D805" t="s">
        <v>12</v>
      </c>
      <c r="E805" t="s">
        <v>23</v>
      </c>
      <c r="F805" t="s">
        <v>32</v>
      </c>
      <c r="G805" t="s">
        <v>20</v>
      </c>
      <c r="H805" s="2">
        <v>154.33000000000001</v>
      </c>
      <c r="I805">
        <v>18</v>
      </c>
      <c r="J805" s="2">
        <v>2777.94</v>
      </c>
    </row>
    <row r="806" spans="1:10" x14ac:dyDescent="0.25">
      <c r="A806" t="s">
        <v>866</v>
      </c>
      <c r="B806" s="16">
        <v>45989</v>
      </c>
      <c r="C806" t="s">
        <v>11</v>
      </c>
      <c r="D806" t="s">
        <v>55</v>
      </c>
      <c r="E806" t="s">
        <v>18</v>
      </c>
      <c r="F806" t="s">
        <v>14</v>
      </c>
      <c r="G806" t="s">
        <v>15</v>
      </c>
      <c r="H806" s="2">
        <v>183.26</v>
      </c>
      <c r="I806">
        <v>12</v>
      </c>
      <c r="J806" s="2">
        <v>2199.12</v>
      </c>
    </row>
    <row r="807" spans="1:10" x14ac:dyDescent="0.25">
      <c r="A807" t="s">
        <v>867</v>
      </c>
      <c r="B807" s="16">
        <v>45679</v>
      </c>
      <c r="C807" t="s">
        <v>25</v>
      </c>
      <c r="D807" t="s">
        <v>55</v>
      </c>
      <c r="E807" t="s">
        <v>41</v>
      </c>
      <c r="F807" t="s">
        <v>42</v>
      </c>
      <c r="G807" t="s">
        <v>20</v>
      </c>
      <c r="H807" s="2">
        <v>232.95</v>
      </c>
      <c r="I807">
        <v>1</v>
      </c>
      <c r="J807" s="2">
        <v>232.95</v>
      </c>
    </row>
    <row r="808" spans="1:10" x14ac:dyDescent="0.25">
      <c r="A808" t="s">
        <v>868</v>
      </c>
      <c r="B808" s="16">
        <v>45701</v>
      </c>
      <c r="C808" t="s">
        <v>30</v>
      </c>
      <c r="D808" t="s">
        <v>12</v>
      </c>
      <c r="E808" t="s">
        <v>27</v>
      </c>
      <c r="F808" t="s">
        <v>28</v>
      </c>
      <c r="G808" t="s">
        <v>36</v>
      </c>
      <c r="H808" s="2">
        <v>185.59</v>
      </c>
      <c r="I808">
        <v>10</v>
      </c>
      <c r="J808" s="2">
        <v>1855.9</v>
      </c>
    </row>
    <row r="809" spans="1:10" x14ac:dyDescent="0.25">
      <c r="A809" t="s">
        <v>869</v>
      </c>
      <c r="B809" s="16">
        <v>45766</v>
      </c>
      <c r="C809" t="s">
        <v>17</v>
      </c>
      <c r="D809" t="s">
        <v>55</v>
      </c>
      <c r="E809" t="s">
        <v>23</v>
      </c>
      <c r="F809" t="s">
        <v>14</v>
      </c>
      <c r="G809" t="s">
        <v>15</v>
      </c>
      <c r="H809" s="2">
        <v>63.56</v>
      </c>
      <c r="I809">
        <v>14</v>
      </c>
      <c r="J809" s="2">
        <v>889.84</v>
      </c>
    </row>
    <row r="810" spans="1:10" x14ac:dyDescent="0.25">
      <c r="A810" t="s">
        <v>870</v>
      </c>
      <c r="B810" s="16">
        <v>45771</v>
      </c>
      <c r="C810" t="s">
        <v>34</v>
      </c>
      <c r="D810" t="s">
        <v>26</v>
      </c>
      <c r="E810" t="s">
        <v>45</v>
      </c>
      <c r="F810" t="s">
        <v>14</v>
      </c>
      <c r="G810" t="s">
        <v>20</v>
      </c>
      <c r="H810" s="2">
        <v>156.78</v>
      </c>
      <c r="I810">
        <v>20</v>
      </c>
      <c r="J810" s="2">
        <v>3135.6</v>
      </c>
    </row>
    <row r="811" spans="1:10" x14ac:dyDescent="0.25">
      <c r="A811" t="s">
        <v>871</v>
      </c>
      <c r="B811" s="16">
        <v>45948</v>
      </c>
      <c r="C811" t="s">
        <v>25</v>
      </c>
      <c r="D811" t="s">
        <v>31</v>
      </c>
      <c r="E811" t="s">
        <v>27</v>
      </c>
      <c r="F811" t="s">
        <v>42</v>
      </c>
      <c r="G811" t="s">
        <v>15</v>
      </c>
      <c r="H811" s="2">
        <v>163.47999999999999</v>
      </c>
      <c r="I811">
        <v>2</v>
      </c>
      <c r="J811" s="2">
        <v>326.95999999999998</v>
      </c>
    </row>
    <row r="812" spans="1:10" x14ac:dyDescent="0.25">
      <c r="A812" t="s">
        <v>872</v>
      </c>
      <c r="B812" s="16">
        <v>45806</v>
      </c>
      <c r="C812" t="s">
        <v>34</v>
      </c>
      <c r="D812" t="s">
        <v>22</v>
      </c>
      <c r="E812" t="s">
        <v>23</v>
      </c>
      <c r="F812" t="s">
        <v>28</v>
      </c>
      <c r="G812" t="s">
        <v>20</v>
      </c>
      <c r="H812" s="2">
        <v>123.31</v>
      </c>
      <c r="I812">
        <v>3</v>
      </c>
      <c r="J812" s="2">
        <v>369.93</v>
      </c>
    </row>
    <row r="813" spans="1:10" x14ac:dyDescent="0.25">
      <c r="A813" t="s">
        <v>873</v>
      </c>
      <c r="B813" s="16">
        <v>45907</v>
      </c>
      <c r="C813" t="s">
        <v>34</v>
      </c>
      <c r="D813" t="s">
        <v>26</v>
      </c>
      <c r="E813" t="s">
        <v>27</v>
      </c>
      <c r="F813" t="s">
        <v>28</v>
      </c>
      <c r="G813" t="s">
        <v>15</v>
      </c>
      <c r="H813" s="2">
        <v>192.02</v>
      </c>
      <c r="I813">
        <v>11</v>
      </c>
      <c r="J813" s="2">
        <v>2112.2199999999998</v>
      </c>
    </row>
    <row r="814" spans="1:10" x14ac:dyDescent="0.25">
      <c r="A814" t="s">
        <v>874</v>
      </c>
      <c r="B814" s="16">
        <v>45709</v>
      </c>
      <c r="C814" t="s">
        <v>25</v>
      </c>
      <c r="D814" t="s">
        <v>22</v>
      </c>
      <c r="E814" t="s">
        <v>23</v>
      </c>
      <c r="F814" t="s">
        <v>32</v>
      </c>
      <c r="G814" t="s">
        <v>36</v>
      </c>
      <c r="H814" s="2">
        <v>235.56</v>
      </c>
      <c r="I814">
        <v>10</v>
      </c>
      <c r="J814" s="2">
        <v>2355.6</v>
      </c>
    </row>
    <row r="815" spans="1:10" x14ac:dyDescent="0.25">
      <c r="A815" t="s">
        <v>875</v>
      </c>
      <c r="B815" s="16">
        <v>45888</v>
      </c>
      <c r="C815" t="s">
        <v>25</v>
      </c>
      <c r="D815" t="s">
        <v>12</v>
      </c>
      <c r="E815" t="s">
        <v>13</v>
      </c>
      <c r="F815" t="s">
        <v>28</v>
      </c>
      <c r="G815" t="s">
        <v>20</v>
      </c>
      <c r="H815" s="2">
        <v>233.63</v>
      </c>
      <c r="I815">
        <v>11</v>
      </c>
      <c r="J815" s="2">
        <v>2569.9299999999998</v>
      </c>
    </row>
    <row r="816" spans="1:10" x14ac:dyDescent="0.25">
      <c r="A816" t="s">
        <v>876</v>
      </c>
      <c r="B816" s="16">
        <v>45736</v>
      </c>
      <c r="C816" t="s">
        <v>25</v>
      </c>
      <c r="D816" t="s">
        <v>35</v>
      </c>
      <c r="E816" t="s">
        <v>13</v>
      </c>
      <c r="F816" t="s">
        <v>61</v>
      </c>
      <c r="G816" t="s">
        <v>15</v>
      </c>
      <c r="H816" s="2">
        <v>129.18</v>
      </c>
      <c r="I816">
        <v>19</v>
      </c>
      <c r="J816" s="2">
        <v>2454.42</v>
      </c>
    </row>
    <row r="817" spans="1:10" x14ac:dyDescent="0.25">
      <c r="A817" t="s">
        <v>877</v>
      </c>
      <c r="B817" s="16">
        <v>45660</v>
      </c>
      <c r="C817" t="s">
        <v>30</v>
      </c>
      <c r="D817" t="s">
        <v>26</v>
      </c>
      <c r="E817" t="s">
        <v>27</v>
      </c>
      <c r="F817" t="s">
        <v>28</v>
      </c>
      <c r="G817" t="s">
        <v>20</v>
      </c>
      <c r="H817" s="2">
        <v>54.91</v>
      </c>
      <c r="I817">
        <v>11</v>
      </c>
      <c r="J817" s="2">
        <v>604.01</v>
      </c>
    </row>
    <row r="818" spans="1:10" x14ac:dyDescent="0.25">
      <c r="A818" t="s">
        <v>878</v>
      </c>
      <c r="B818" s="16">
        <v>45881</v>
      </c>
      <c r="C818" t="s">
        <v>34</v>
      </c>
      <c r="D818" t="s">
        <v>26</v>
      </c>
      <c r="E818" t="s">
        <v>27</v>
      </c>
      <c r="F818" t="s">
        <v>28</v>
      </c>
      <c r="G818" t="s">
        <v>36</v>
      </c>
      <c r="H818" s="2">
        <v>246.67</v>
      </c>
      <c r="I818">
        <v>9</v>
      </c>
      <c r="J818" s="2">
        <v>2220.0300000000002</v>
      </c>
    </row>
    <row r="819" spans="1:10" x14ac:dyDescent="0.25">
      <c r="A819" t="s">
        <v>879</v>
      </c>
      <c r="B819" s="16">
        <v>45903</v>
      </c>
      <c r="C819" t="s">
        <v>38</v>
      </c>
      <c r="D819" t="s">
        <v>35</v>
      </c>
      <c r="E819" t="s">
        <v>13</v>
      </c>
      <c r="F819" t="s">
        <v>61</v>
      </c>
      <c r="G819" t="s">
        <v>20</v>
      </c>
      <c r="H819" s="2">
        <v>214.56</v>
      </c>
      <c r="I819">
        <v>15</v>
      </c>
      <c r="J819" s="2">
        <v>3218.4</v>
      </c>
    </row>
    <row r="820" spans="1:10" x14ac:dyDescent="0.25">
      <c r="A820" t="s">
        <v>880</v>
      </c>
      <c r="B820" s="16">
        <v>45713</v>
      </c>
      <c r="C820" t="s">
        <v>17</v>
      </c>
      <c r="D820" t="s">
        <v>55</v>
      </c>
      <c r="E820" t="s">
        <v>45</v>
      </c>
      <c r="F820" t="s">
        <v>39</v>
      </c>
      <c r="G820" t="s">
        <v>36</v>
      </c>
      <c r="H820" s="2">
        <v>57.43</v>
      </c>
      <c r="I820">
        <v>6</v>
      </c>
      <c r="J820" s="2">
        <v>344.58</v>
      </c>
    </row>
    <row r="821" spans="1:10" x14ac:dyDescent="0.25">
      <c r="A821" t="s">
        <v>881</v>
      </c>
      <c r="B821" s="16">
        <v>45729</v>
      </c>
      <c r="C821" t="s">
        <v>30</v>
      </c>
      <c r="D821" t="s">
        <v>35</v>
      </c>
      <c r="E821" t="s">
        <v>27</v>
      </c>
      <c r="F821" t="s">
        <v>28</v>
      </c>
      <c r="G821" t="s">
        <v>15</v>
      </c>
      <c r="H821" s="2">
        <v>232.59</v>
      </c>
      <c r="I821">
        <v>18</v>
      </c>
      <c r="J821" s="2">
        <v>4186.62</v>
      </c>
    </row>
    <row r="822" spans="1:10" x14ac:dyDescent="0.25">
      <c r="A822" t="s">
        <v>882</v>
      </c>
      <c r="B822" s="16">
        <v>45696</v>
      </c>
      <c r="C822" t="s">
        <v>25</v>
      </c>
      <c r="D822" t="s">
        <v>12</v>
      </c>
      <c r="E822" t="s">
        <v>45</v>
      </c>
      <c r="F822" t="s">
        <v>39</v>
      </c>
      <c r="G822" t="s">
        <v>20</v>
      </c>
      <c r="H822" s="2">
        <v>221.38</v>
      </c>
      <c r="I822">
        <v>1</v>
      </c>
      <c r="J822" s="2">
        <v>221.38</v>
      </c>
    </row>
    <row r="823" spans="1:10" x14ac:dyDescent="0.25">
      <c r="A823" t="s">
        <v>883</v>
      </c>
      <c r="B823" s="16">
        <v>45954</v>
      </c>
      <c r="C823" t="s">
        <v>25</v>
      </c>
      <c r="D823" t="s">
        <v>26</v>
      </c>
      <c r="E823" t="s">
        <v>45</v>
      </c>
      <c r="F823" t="s">
        <v>42</v>
      </c>
      <c r="G823" t="s">
        <v>36</v>
      </c>
      <c r="H823" s="2">
        <v>144.13999999999999</v>
      </c>
      <c r="I823">
        <v>13</v>
      </c>
      <c r="J823" s="2">
        <v>1873.82</v>
      </c>
    </row>
    <row r="824" spans="1:10" x14ac:dyDescent="0.25">
      <c r="A824" t="s">
        <v>884</v>
      </c>
      <c r="B824" s="16">
        <v>45936</v>
      </c>
      <c r="C824" t="s">
        <v>38</v>
      </c>
      <c r="D824" t="s">
        <v>12</v>
      </c>
      <c r="E824" t="s">
        <v>23</v>
      </c>
      <c r="F824" t="s">
        <v>32</v>
      </c>
      <c r="G824" t="s">
        <v>36</v>
      </c>
      <c r="H824" s="2">
        <v>160.08000000000001</v>
      </c>
      <c r="I824">
        <v>18</v>
      </c>
      <c r="J824" s="2">
        <v>2881.44</v>
      </c>
    </row>
    <row r="825" spans="1:10" x14ac:dyDescent="0.25">
      <c r="A825" t="s">
        <v>885</v>
      </c>
      <c r="B825" s="16">
        <v>45772</v>
      </c>
      <c r="C825" t="s">
        <v>17</v>
      </c>
      <c r="D825" t="s">
        <v>35</v>
      </c>
      <c r="E825" t="s">
        <v>23</v>
      </c>
      <c r="F825" t="s">
        <v>61</v>
      </c>
      <c r="G825" t="s">
        <v>20</v>
      </c>
      <c r="H825" s="2">
        <v>117.78</v>
      </c>
      <c r="I825">
        <v>19</v>
      </c>
      <c r="J825" s="2">
        <v>2237.8200000000002</v>
      </c>
    </row>
    <row r="826" spans="1:10" x14ac:dyDescent="0.25">
      <c r="A826" t="s">
        <v>886</v>
      </c>
      <c r="B826" s="16">
        <v>45919</v>
      </c>
      <c r="C826" t="s">
        <v>38</v>
      </c>
      <c r="D826" t="s">
        <v>35</v>
      </c>
      <c r="E826" t="s">
        <v>18</v>
      </c>
      <c r="F826" t="s">
        <v>19</v>
      </c>
      <c r="G826" t="s">
        <v>20</v>
      </c>
      <c r="H826" s="2">
        <v>42.05</v>
      </c>
      <c r="I826">
        <v>3</v>
      </c>
      <c r="J826" s="2">
        <v>126.15</v>
      </c>
    </row>
    <row r="827" spans="1:10" x14ac:dyDescent="0.25">
      <c r="A827" t="s">
        <v>887</v>
      </c>
      <c r="B827" s="16">
        <v>45780</v>
      </c>
      <c r="C827" t="s">
        <v>17</v>
      </c>
      <c r="D827" t="s">
        <v>26</v>
      </c>
      <c r="E827" t="s">
        <v>18</v>
      </c>
      <c r="F827" t="s">
        <v>14</v>
      </c>
      <c r="G827" t="s">
        <v>36</v>
      </c>
      <c r="H827" s="2">
        <v>103.74</v>
      </c>
      <c r="I827">
        <v>20</v>
      </c>
      <c r="J827" s="2">
        <v>2074.8000000000002</v>
      </c>
    </row>
    <row r="828" spans="1:10" x14ac:dyDescent="0.25">
      <c r="A828" t="s">
        <v>888</v>
      </c>
      <c r="B828" s="16">
        <v>45739</v>
      </c>
      <c r="C828" t="s">
        <v>25</v>
      </c>
      <c r="D828" t="s">
        <v>55</v>
      </c>
      <c r="E828" t="s">
        <v>27</v>
      </c>
      <c r="F828" t="s">
        <v>39</v>
      </c>
      <c r="G828" t="s">
        <v>15</v>
      </c>
      <c r="H828" s="2">
        <v>206.63</v>
      </c>
      <c r="I828">
        <v>6</v>
      </c>
      <c r="J828" s="2">
        <v>1239.78</v>
      </c>
    </row>
    <row r="829" spans="1:10" x14ac:dyDescent="0.25">
      <c r="A829" t="s">
        <v>889</v>
      </c>
      <c r="B829" s="16">
        <v>45905</v>
      </c>
      <c r="C829" t="s">
        <v>11</v>
      </c>
      <c r="D829" t="s">
        <v>26</v>
      </c>
      <c r="E829" t="s">
        <v>41</v>
      </c>
      <c r="F829" t="s">
        <v>14</v>
      </c>
      <c r="G829" t="s">
        <v>15</v>
      </c>
      <c r="H829" s="2">
        <v>31.02</v>
      </c>
      <c r="I829">
        <v>12</v>
      </c>
      <c r="J829" s="2">
        <v>372.24</v>
      </c>
    </row>
    <row r="830" spans="1:10" x14ac:dyDescent="0.25">
      <c r="A830" t="s">
        <v>890</v>
      </c>
      <c r="B830" s="16">
        <v>45793</v>
      </c>
      <c r="C830" t="s">
        <v>30</v>
      </c>
      <c r="D830" t="s">
        <v>22</v>
      </c>
      <c r="E830" t="s">
        <v>27</v>
      </c>
      <c r="F830" t="s">
        <v>14</v>
      </c>
      <c r="G830" t="s">
        <v>20</v>
      </c>
      <c r="H830" s="2">
        <v>103.37</v>
      </c>
      <c r="I830">
        <v>12</v>
      </c>
      <c r="J830" s="2">
        <v>1240.44</v>
      </c>
    </row>
    <row r="831" spans="1:10" x14ac:dyDescent="0.25">
      <c r="A831" t="s">
        <v>891</v>
      </c>
      <c r="B831" s="16">
        <v>45842</v>
      </c>
      <c r="C831" t="s">
        <v>38</v>
      </c>
      <c r="D831" t="s">
        <v>31</v>
      </c>
      <c r="E831" t="s">
        <v>45</v>
      </c>
      <c r="F831" t="s">
        <v>19</v>
      </c>
      <c r="G831" t="s">
        <v>20</v>
      </c>
      <c r="H831" s="2">
        <v>117.6</v>
      </c>
      <c r="I831">
        <v>13</v>
      </c>
      <c r="J831" s="2">
        <v>1528.8</v>
      </c>
    </row>
    <row r="832" spans="1:10" x14ac:dyDescent="0.25">
      <c r="A832" t="s">
        <v>892</v>
      </c>
      <c r="B832" s="16">
        <v>45823</v>
      </c>
      <c r="C832" t="s">
        <v>17</v>
      </c>
      <c r="D832" t="s">
        <v>55</v>
      </c>
      <c r="E832" t="s">
        <v>27</v>
      </c>
      <c r="F832" t="s">
        <v>39</v>
      </c>
      <c r="G832" t="s">
        <v>36</v>
      </c>
      <c r="H832" s="2">
        <v>148.22999999999999</v>
      </c>
      <c r="I832">
        <v>4</v>
      </c>
      <c r="J832" s="2">
        <v>592.91999999999996</v>
      </c>
    </row>
    <row r="833" spans="1:10" x14ac:dyDescent="0.25">
      <c r="A833" t="s">
        <v>893</v>
      </c>
      <c r="B833" s="16">
        <v>45792</v>
      </c>
      <c r="C833" t="s">
        <v>25</v>
      </c>
      <c r="D833" t="s">
        <v>55</v>
      </c>
      <c r="E833" t="s">
        <v>23</v>
      </c>
      <c r="F833" t="s">
        <v>61</v>
      </c>
      <c r="G833" t="s">
        <v>20</v>
      </c>
      <c r="H833" s="2">
        <v>232.37</v>
      </c>
      <c r="I833">
        <v>19</v>
      </c>
      <c r="J833" s="2">
        <v>4415.03</v>
      </c>
    </row>
    <row r="834" spans="1:10" x14ac:dyDescent="0.25">
      <c r="A834" t="s">
        <v>894</v>
      </c>
      <c r="B834" s="16">
        <v>45851</v>
      </c>
      <c r="C834" t="s">
        <v>25</v>
      </c>
      <c r="D834" t="s">
        <v>12</v>
      </c>
      <c r="E834" t="s">
        <v>45</v>
      </c>
      <c r="F834" t="s">
        <v>42</v>
      </c>
      <c r="G834" t="s">
        <v>36</v>
      </c>
      <c r="H834" s="2">
        <v>106.2</v>
      </c>
      <c r="I834">
        <v>12</v>
      </c>
      <c r="J834" s="2">
        <v>1274.4000000000001</v>
      </c>
    </row>
    <row r="835" spans="1:10" x14ac:dyDescent="0.25">
      <c r="A835" t="s">
        <v>895</v>
      </c>
      <c r="B835" s="16">
        <v>45850</v>
      </c>
      <c r="C835" t="s">
        <v>25</v>
      </c>
      <c r="D835" t="s">
        <v>31</v>
      </c>
      <c r="E835" t="s">
        <v>13</v>
      </c>
      <c r="F835" t="s">
        <v>39</v>
      </c>
      <c r="G835" t="s">
        <v>36</v>
      </c>
      <c r="H835" s="2">
        <v>106.33</v>
      </c>
      <c r="I835">
        <v>8</v>
      </c>
      <c r="J835" s="2">
        <v>850.64</v>
      </c>
    </row>
    <row r="836" spans="1:10" x14ac:dyDescent="0.25">
      <c r="A836" t="s">
        <v>896</v>
      </c>
      <c r="B836" s="16">
        <v>45907</v>
      </c>
      <c r="C836" t="s">
        <v>25</v>
      </c>
      <c r="D836" t="s">
        <v>22</v>
      </c>
      <c r="E836" t="s">
        <v>18</v>
      </c>
      <c r="F836" t="s">
        <v>14</v>
      </c>
      <c r="G836" t="s">
        <v>36</v>
      </c>
      <c r="H836" s="2">
        <v>192.25</v>
      </c>
      <c r="I836">
        <v>16</v>
      </c>
      <c r="J836" s="2">
        <v>3076</v>
      </c>
    </row>
    <row r="837" spans="1:10" x14ac:dyDescent="0.25">
      <c r="A837" t="s">
        <v>897</v>
      </c>
      <c r="B837" s="16">
        <v>45742</v>
      </c>
      <c r="C837" t="s">
        <v>11</v>
      </c>
      <c r="D837" t="s">
        <v>55</v>
      </c>
      <c r="E837" t="s">
        <v>27</v>
      </c>
      <c r="F837" t="s">
        <v>32</v>
      </c>
      <c r="G837" t="s">
        <v>15</v>
      </c>
      <c r="H837" s="2">
        <v>129.49</v>
      </c>
      <c r="I837">
        <v>8</v>
      </c>
      <c r="J837" s="2">
        <v>1035.92</v>
      </c>
    </row>
    <row r="838" spans="1:10" x14ac:dyDescent="0.25">
      <c r="A838" t="s">
        <v>898</v>
      </c>
      <c r="B838" s="16">
        <v>45734</v>
      </c>
      <c r="C838" t="s">
        <v>30</v>
      </c>
      <c r="D838" t="s">
        <v>35</v>
      </c>
      <c r="E838" t="s">
        <v>18</v>
      </c>
      <c r="F838" t="s">
        <v>28</v>
      </c>
      <c r="G838" t="s">
        <v>15</v>
      </c>
      <c r="H838" s="2">
        <v>79.41</v>
      </c>
      <c r="I838">
        <v>6</v>
      </c>
      <c r="J838" s="2">
        <v>476.46</v>
      </c>
    </row>
    <row r="839" spans="1:10" x14ac:dyDescent="0.25">
      <c r="A839" t="s">
        <v>899</v>
      </c>
      <c r="B839" s="16">
        <v>45996</v>
      </c>
      <c r="C839" t="s">
        <v>38</v>
      </c>
      <c r="D839" t="s">
        <v>35</v>
      </c>
      <c r="E839" t="s">
        <v>27</v>
      </c>
      <c r="F839" t="s">
        <v>19</v>
      </c>
      <c r="G839" t="s">
        <v>36</v>
      </c>
      <c r="H839" s="2">
        <v>129.54</v>
      </c>
      <c r="I839">
        <v>8</v>
      </c>
      <c r="J839" s="2">
        <v>1036.32</v>
      </c>
    </row>
    <row r="840" spans="1:10" x14ac:dyDescent="0.25">
      <c r="A840" t="s">
        <v>900</v>
      </c>
      <c r="B840" s="16">
        <v>46003</v>
      </c>
      <c r="C840" t="s">
        <v>38</v>
      </c>
      <c r="D840" t="s">
        <v>26</v>
      </c>
      <c r="E840" t="s">
        <v>18</v>
      </c>
      <c r="F840" t="s">
        <v>14</v>
      </c>
      <c r="G840" t="s">
        <v>20</v>
      </c>
      <c r="H840" s="2">
        <v>60.99</v>
      </c>
      <c r="I840">
        <v>16</v>
      </c>
      <c r="J840" s="2">
        <v>975.84</v>
      </c>
    </row>
    <row r="841" spans="1:10" x14ac:dyDescent="0.25">
      <c r="A841" t="s">
        <v>901</v>
      </c>
      <c r="B841" s="16">
        <v>45868</v>
      </c>
      <c r="C841" t="s">
        <v>30</v>
      </c>
      <c r="D841" t="s">
        <v>22</v>
      </c>
      <c r="E841" t="s">
        <v>23</v>
      </c>
      <c r="F841" t="s">
        <v>42</v>
      </c>
      <c r="G841" t="s">
        <v>20</v>
      </c>
      <c r="H841" s="2">
        <v>68.81</v>
      </c>
      <c r="I841">
        <v>1</v>
      </c>
      <c r="J841" s="2">
        <v>68.81</v>
      </c>
    </row>
    <row r="842" spans="1:10" x14ac:dyDescent="0.25">
      <c r="A842" t="s">
        <v>902</v>
      </c>
      <c r="B842" s="16">
        <v>45740</v>
      </c>
      <c r="C842" t="s">
        <v>17</v>
      </c>
      <c r="D842" t="s">
        <v>55</v>
      </c>
      <c r="E842" t="s">
        <v>45</v>
      </c>
      <c r="F842" t="s">
        <v>42</v>
      </c>
      <c r="G842" t="s">
        <v>15</v>
      </c>
      <c r="H842" s="2">
        <v>139.63999999999999</v>
      </c>
      <c r="I842">
        <v>5</v>
      </c>
      <c r="J842" s="2">
        <v>698.2</v>
      </c>
    </row>
    <row r="843" spans="1:10" x14ac:dyDescent="0.25">
      <c r="A843" t="s">
        <v>903</v>
      </c>
      <c r="B843" s="16">
        <v>45686</v>
      </c>
      <c r="C843" t="s">
        <v>34</v>
      </c>
      <c r="D843" t="s">
        <v>26</v>
      </c>
      <c r="E843" t="s">
        <v>18</v>
      </c>
      <c r="F843" t="s">
        <v>61</v>
      </c>
      <c r="G843" t="s">
        <v>20</v>
      </c>
      <c r="H843" s="2">
        <v>122.16</v>
      </c>
      <c r="I843">
        <v>6</v>
      </c>
      <c r="J843" s="2">
        <v>732.96</v>
      </c>
    </row>
    <row r="844" spans="1:10" x14ac:dyDescent="0.25">
      <c r="A844" t="s">
        <v>904</v>
      </c>
      <c r="B844" s="16">
        <v>45946</v>
      </c>
      <c r="C844" t="s">
        <v>17</v>
      </c>
      <c r="D844" t="s">
        <v>12</v>
      </c>
      <c r="E844" t="s">
        <v>27</v>
      </c>
      <c r="F844" t="s">
        <v>39</v>
      </c>
      <c r="G844" t="s">
        <v>36</v>
      </c>
      <c r="H844" s="2">
        <v>231.27</v>
      </c>
      <c r="I844">
        <v>1</v>
      </c>
      <c r="J844" s="2">
        <v>231.27</v>
      </c>
    </row>
    <row r="845" spans="1:10" x14ac:dyDescent="0.25">
      <c r="A845" t="s">
        <v>905</v>
      </c>
      <c r="B845" s="16">
        <v>45701</v>
      </c>
      <c r="C845" t="s">
        <v>38</v>
      </c>
      <c r="D845" t="s">
        <v>55</v>
      </c>
      <c r="E845" t="s">
        <v>41</v>
      </c>
      <c r="F845" t="s">
        <v>39</v>
      </c>
      <c r="G845" t="s">
        <v>36</v>
      </c>
      <c r="H845" s="2">
        <v>109.73</v>
      </c>
      <c r="I845">
        <v>7</v>
      </c>
      <c r="J845" s="2">
        <v>768.11</v>
      </c>
    </row>
    <row r="846" spans="1:10" x14ac:dyDescent="0.25">
      <c r="A846" t="s">
        <v>906</v>
      </c>
      <c r="B846" s="16">
        <v>45745</v>
      </c>
      <c r="C846" t="s">
        <v>38</v>
      </c>
      <c r="D846" t="s">
        <v>55</v>
      </c>
      <c r="E846" t="s">
        <v>23</v>
      </c>
      <c r="F846" t="s">
        <v>39</v>
      </c>
      <c r="G846" t="s">
        <v>20</v>
      </c>
      <c r="H846" s="2">
        <v>157.72999999999999</v>
      </c>
      <c r="I846">
        <v>8</v>
      </c>
      <c r="J846" s="2">
        <v>1261.8399999999999</v>
      </c>
    </row>
    <row r="847" spans="1:10" x14ac:dyDescent="0.25">
      <c r="A847" t="s">
        <v>907</v>
      </c>
      <c r="B847" s="16">
        <v>45751</v>
      </c>
      <c r="C847" t="s">
        <v>17</v>
      </c>
      <c r="D847" t="s">
        <v>55</v>
      </c>
      <c r="E847" t="s">
        <v>13</v>
      </c>
      <c r="F847" t="s">
        <v>14</v>
      </c>
      <c r="G847" t="s">
        <v>20</v>
      </c>
      <c r="H847" s="2">
        <v>169.1</v>
      </c>
      <c r="I847">
        <v>20</v>
      </c>
      <c r="J847" s="2">
        <v>3382</v>
      </c>
    </row>
    <row r="848" spans="1:10" x14ac:dyDescent="0.25">
      <c r="A848" t="s">
        <v>908</v>
      </c>
      <c r="B848" s="16">
        <v>46009</v>
      </c>
      <c r="C848" t="s">
        <v>38</v>
      </c>
      <c r="D848" t="s">
        <v>55</v>
      </c>
      <c r="E848" t="s">
        <v>18</v>
      </c>
      <c r="F848" t="s">
        <v>19</v>
      </c>
      <c r="G848" t="s">
        <v>15</v>
      </c>
      <c r="H848" s="2">
        <v>32.880000000000003</v>
      </c>
      <c r="I848">
        <v>11</v>
      </c>
      <c r="J848" s="2">
        <v>361.68</v>
      </c>
    </row>
    <row r="849" spans="1:10" x14ac:dyDescent="0.25">
      <c r="A849" t="s">
        <v>909</v>
      </c>
      <c r="B849" s="16">
        <v>45851</v>
      </c>
      <c r="C849" t="s">
        <v>30</v>
      </c>
      <c r="D849" t="s">
        <v>22</v>
      </c>
      <c r="E849" t="s">
        <v>45</v>
      </c>
      <c r="F849" t="s">
        <v>14</v>
      </c>
      <c r="G849" t="s">
        <v>20</v>
      </c>
      <c r="H849" s="2">
        <v>175.98</v>
      </c>
      <c r="I849">
        <v>13</v>
      </c>
      <c r="J849" s="2">
        <v>2287.7399999999998</v>
      </c>
    </row>
    <row r="850" spans="1:10" x14ac:dyDescent="0.25">
      <c r="A850" t="s">
        <v>910</v>
      </c>
      <c r="B850" s="16">
        <v>45916</v>
      </c>
      <c r="C850" t="s">
        <v>30</v>
      </c>
      <c r="D850" t="s">
        <v>55</v>
      </c>
      <c r="E850" t="s">
        <v>45</v>
      </c>
      <c r="F850" t="s">
        <v>14</v>
      </c>
      <c r="G850" t="s">
        <v>36</v>
      </c>
      <c r="H850" s="2">
        <v>69.17</v>
      </c>
      <c r="I850">
        <v>14</v>
      </c>
      <c r="J850" s="2">
        <v>968.38</v>
      </c>
    </row>
    <row r="851" spans="1:10" x14ac:dyDescent="0.25">
      <c r="A851" t="s">
        <v>911</v>
      </c>
      <c r="B851" s="16">
        <v>45972</v>
      </c>
      <c r="C851" t="s">
        <v>11</v>
      </c>
      <c r="D851" t="s">
        <v>55</v>
      </c>
      <c r="E851" t="s">
        <v>18</v>
      </c>
      <c r="F851" t="s">
        <v>39</v>
      </c>
      <c r="G851" t="s">
        <v>15</v>
      </c>
      <c r="H851" s="2">
        <v>241.44</v>
      </c>
      <c r="I851">
        <v>20</v>
      </c>
      <c r="J851" s="2">
        <v>4828.8</v>
      </c>
    </row>
    <row r="852" spans="1:10" x14ac:dyDescent="0.25">
      <c r="A852" t="s">
        <v>912</v>
      </c>
      <c r="B852" s="16">
        <v>45705</v>
      </c>
      <c r="C852" t="s">
        <v>17</v>
      </c>
      <c r="D852" t="s">
        <v>26</v>
      </c>
      <c r="E852" t="s">
        <v>18</v>
      </c>
      <c r="F852" t="s">
        <v>42</v>
      </c>
      <c r="G852" t="s">
        <v>15</v>
      </c>
      <c r="H852" s="2">
        <v>62.71</v>
      </c>
      <c r="I852">
        <v>16</v>
      </c>
      <c r="J852" s="2">
        <v>1003.36</v>
      </c>
    </row>
    <row r="853" spans="1:10" x14ac:dyDescent="0.25">
      <c r="A853" t="s">
        <v>913</v>
      </c>
      <c r="B853" s="16">
        <v>46005</v>
      </c>
      <c r="C853" t="s">
        <v>25</v>
      </c>
      <c r="D853" t="s">
        <v>31</v>
      </c>
      <c r="E853" t="s">
        <v>13</v>
      </c>
      <c r="F853" t="s">
        <v>39</v>
      </c>
      <c r="G853" t="s">
        <v>15</v>
      </c>
      <c r="H853" s="2">
        <v>121.22</v>
      </c>
      <c r="I853">
        <v>14</v>
      </c>
      <c r="J853" s="2">
        <v>1697.08</v>
      </c>
    </row>
    <row r="854" spans="1:10" x14ac:dyDescent="0.25">
      <c r="A854" t="s">
        <v>914</v>
      </c>
      <c r="B854" s="16">
        <v>46015</v>
      </c>
      <c r="C854" t="s">
        <v>38</v>
      </c>
      <c r="D854" t="s">
        <v>26</v>
      </c>
      <c r="E854" t="s">
        <v>41</v>
      </c>
      <c r="F854" t="s">
        <v>39</v>
      </c>
      <c r="G854" t="s">
        <v>36</v>
      </c>
      <c r="H854" s="2">
        <v>48.78</v>
      </c>
      <c r="I854">
        <v>17</v>
      </c>
      <c r="J854" s="2">
        <v>829.26</v>
      </c>
    </row>
    <row r="855" spans="1:10" x14ac:dyDescent="0.25">
      <c r="A855" t="s">
        <v>915</v>
      </c>
      <c r="B855" s="16">
        <v>45837</v>
      </c>
      <c r="C855" t="s">
        <v>17</v>
      </c>
      <c r="D855" t="s">
        <v>12</v>
      </c>
      <c r="E855" t="s">
        <v>18</v>
      </c>
      <c r="F855" t="s">
        <v>19</v>
      </c>
      <c r="G855" t="s">
        <v>36</v>
      </c>
      <c r="H855" s="2">
        <v>249.31</v>
      </c>
      <c r="I855">
        <v>19</v>
      </c>
      <c r="J855" s="2">
        <v>4736.8900000000003</v>
      </c>
    </row>
    <row r="856" spans="1:10" x14ac:dyDescent="0.25">
      <c r="A856" t="s">
        <v>916</v>
      </c>
      <c r="B856" s="16">
        <v>45726</v>
      </c>
      <c r="C856" t="s">
        <v>38</v>
      </c>
      <c r="D856" t="s">
        <v>26</v>
      </c>
      <c r="E856" t="s">
        <v>45</v>
      </c>
      <c r="F856" t="s">
        <v>32</v>
      </c>
      <c r="G856" t="s">
        <v>20</v>
      </c>
      <c r="H856" s="2">
        <v>140.47999999999999</v>
      </c>
      <c r="I856">
        <v>9</v>
      </c>
      <c r="J856" s="2">
        <v>1264.32</v>
      </c>
    </row>
    <row r="857" spans="1:10" x14ac:dyDescent="0.25">
      <c r="A857" t="s">
        <v>917</v>
      </c>
      <c r="B857" s="16">
        <v>45936</v>
      </c>
      <c r="C857" t="s">
        <v>34</v>
      </c>
      <c r="D857" t="s">
        <v>26</v>
      </c>
      <c r="E857" t="s">
        <v>45</v>
      </c>
      <c r="F857" t="s">
        <v>28</v>
      </c>
      <c r="G857" t="s">
        <v>20</v>
      </c>
      <c r="H857" s="2">
        <v>160.97999999999999</v>
      </c>
      <c r="I857">
        <v>14</v>
      </c>
      <c r="J857" s="2">
        <v>2253.7199999999998</v>
      </c>
    </row>
    <row r="858" spans="1:10" x14ac:dyDescent="0.25">
      <c r="A858" t="s">
        <v>918</v>
      </c>
      <c r="B858" s="16">
        <v>45661</v>
      </c>
      <c r="C858" t="s">
        <v>25</v>
      </c>
      <c r="D858" t="s">
        <v>22</v>
      </c>
      <c r="E858" t="s">
        <v>18</v>
      </c>
      <c r="F858" t="s">
        <v>19</v>
      </c>
      <c r="G858" t="s">
        <v>36</v>
      </c>
      <c r="H858" s="2">
        <v>44.76</v>
      </c>
      <c r="I858">
        <v>19</v>
      </c>
      <c r="J858" s="2">
        <v>850.44</v>
      </c>
    </row>
    <row r="859" spans="1:10" x14ac:dyDescent="0.25">
      <c r="A859" t="s">
        <v>919</v>
      </c>
      <c r="B859" s="16">
        <v>45993</v>
      </c>
      <c r="C859" t="s">
        <v>17</v>
      </c>
      <c r="D859" t="s">
        <v>35</v>
      </c>
      <c r="E859" t="s">
        <v>41</v>
      </c>
      <c r="F859" t="s">
        <v>32</v>
      </c>
      <c r="G859" t="s">
        <v>15</v>
      </c>
      <c r="H859" s="2">
        <v>194.99</v>
      </c>
      <c r="I859">
        <v>7</v>
      </c>
      <c r="J859" s="2">
        <v>1364.93</v>
      </c>
    </row>
    <row r="860" spans="1:10" x14ac:dyDescent="0.25">
      <c r="A860" t="s">
        <v>920</v>
      </c>
      <c r="B860" s="16">
        <v>45737</v>
      </c>
      <c r="C860" t="s">
        <v>17</v>
      </c>
      <c r="D860" t="s">
        <v>55</v>
      </c>
      <c r="E860" t="s">
        <v>13</v>
      </c>
      <c r="F860" t="s">
        <v>32</v>
      </c>
      <c r="G860" t="s">
        <v>20</v>
      </c>
      <c r="H860" s="2">
        <v>76.180000000000007</v>
      </c>
      <c r="I860">
        <v>14</v>
      </c>
      <c r="J860" s="2">
        <v>1066.52</v>
      </c>
    </row>
    <row r="861" spans="1:10" x14ac:dyDescent="0.25">
      <c r="A861" t="s">
        <v>921</v>
      </c>
      <c r="B861" s="16">
        <v>45874</v>
      </c>
      <c r="C861" t="s">
        <v>34</v>
      </c>
      <c r="D861" t="s">
        <v>55</v>
      </c>
      <c r="E861" t="s">
        <v>13</v>
      </c>
      <c r="F861" t="s">
        <v>28</v>
      </c>
      <c r="G861" t="s">
        <v>36</v>
      </c>
      <c r="H861" s="2">
        <v>227.57</v>
      </c>
      <c r="I861">
        <v>19</v>
      </c>
      <c r="J861" s="2">
        <v>4323.83</v>
      </c>
    </row>
    <row r="862" spans="1:10" x14ac:dyDescent="0.25">
      <c r="A862" t="s">
        <v>922</v>
      </c>
      <c r="B862" s="16">
        <v>45762</v>
      </c>
      <c r="C862" t="s">
        <v>25</v>
      </c>
      <c r="D862" t="s">
        <v>55</v>
      </c>
      <c r="E862" t="s">
        <v>41</v>
      </c>
      <c r="F862" t="s">
        <v>14</v>
      </c>
      <c r="G862" t="s">
        <v>36</v>
      </c>
      <c r="H862" s="2">
        <v>75.13</v>
      </c>
      <c r="I862">
        <v>14</v>
      </c>
      <c r="J862" s="2">
        <v>1051.82</v>
      </c>
    </row>
    <row r="863" spans="1:10" x14ac:dyDescent="0.25">
      <c r="A863" t="s">
        <v>923</v>
      </c>
      <c r="B863" s="16">
        <v>45944</v>
      </c>
      <c r="C863" t="s">
        <v>38</v>
      </c>
      <c r="D863" t="s">
        <v>35</v>
      </c>
      <c r="E863" t="s">
        <v>13</v>
      </c>
      <c r="F863" t="s">
        <v>42</v>
      </c>
      <c r="G863" t="s">
        <v>36</v>
      </c>
      <c r="H863" s="2">
        <v>71.95</v>
      </c>
      <c r="I863">
        <v>18</v>
      </c>
      <c r="J863" s="2">
        <v>1295.0999999999999</v>
      </c>
    </row>
    <row r="864" spans="1:10" x14ac:dyDescent="0.25">
      <c r="A864" t="s">
        <v>924</v>
      </c>
      <c r="B864" s="16">
        <v>46019</v>
      </c>
      <c r="C864" t="s">
        <v>17</v>
      </c>
      <c r="D864" t="s">
        <v>26</v>
      </c>
      <c r="E864" t="s">
        <v>27</v>
      </c>
      <c r="F864" t="s">
        <v>19</v>
      </c>
      <c r="G864" t="s">
        <v>20</v>
      </c>
      <c r="H864" s="2">
        <v>38.04</v>
      </c>
      <c r="I864">
        <v>13</v>
      </c>
      <c r="J864" s="2">
        <v>494.52</v>
      </c>
    </row>
    <row r="865" spans="1:10" x14ac:dyDescent="0.25">
      <c r="A865" t="s">
        <v>925</v>
      </c>
      <c r="B865" s="16">
        <v>45775</v>
      </c>
      <c r="C865" t="s">
        <v>17</v>
      </c>
      <c r="D865" t="s">
        <v>26</v>
      </c>
      <c r="E865" t="s">
        <v>45</v>
      </c>
      <c r="F865" t="s">
        <v>14</v>
      </c>
      <c r="G865" t="s">
        <v>20</v>
      </c>
      <c r="H865" s="2">
        <v>133.85</v>
      </c>
      <c r="I865">
        <v>15</v>
      </c>
      <c r="J865" s="2">
        <v>2007.75</v>
      </c>
    </row>
    <row r="866" spans="1:10" x14ac:dyDescent="0.25">
      <c r="A866" t="s">
        <v>926</v>
      </c>
      <c r="B866" s="16">
        <v>45863</v>
      </c>
      <c r="C866" t="s">
        <v>25</v>
      </c>
      <c r="D866" t="s">
        <v>55</v>
      </c>
      <c r="E866" t="s">
        <v>27</v>
      </c>
      <c r="F866" t="s">
        <v>28</v>
      </c>
      <c r="G866" t="s">
        <v>20</v>
      </c>
      <c r="H866" s="2">
        <v>154.27000000000001</v>
      </c>
      <c r="I866">
        <v>11</v>
      </c>
      <c r="J866" s="2">
        <v>1696.97</v>
      </c>
    </row>
    <row r="867" spans="1:10" x14ac:dyDescent="0.25">
      <c r="A867" t="s">
        <v>927</v>
      </c>
      <c r="B867" s="16">
        <v>45684</v>
      </c>
      <c r="C867" t="s">
        <v>38</v>
      </c>
      <c r="D867" t="s">
        <v>12</v>
      </c>
      <c r="E867" t="s">
        <v>45</v>
      </c>
      <c r="F867" t="s">
        <v>39</v>
      </c>
      <c r="G867" t="s">
        <v>15</v>
      </c>
      <c r="H867" s="2">
        <v>44.46</v>
      </c>
      <c r="I867">
        <v>6</v>
      </c>
      <c r="J867" s="2">
        <v>266.76</v>
      </c>
    </row>
    <row r="868" spans="1:10" x14ac:dyDescent="0.25">
      <c r="A868" t="s">
        <v>928</v>
      </c>
      <c r="B868" s="16">
        <v>45732</v>
      </c>
      <c r="C868" t="s">
        <v>25</v>
      </c>
      <c r="D868" t="s">
        <v>31</v>
      </c>
      <c r="E868" t="s">
        <v>45</v>
      </c>
      <c r="F868" t="s">
        <v>19</v>
      </c>
      <c r="G868" t="s">
        <v>36</v>
      </c>
      <c r="H868" s="2">
        <v>200.62</v>
      </c>
      <c r="I868">
        <v>16</v>
      </c>
      <c r="J868" s="2">
        <v>3209.92</v>
      </c>
    </row>
    <row r="869" spans="1:10" x14ac:dyDescent="0.25">
      <c r="A869" t="s">
        <v>929</v>
      </c>
      <c r="B869" s="16">
        <v>45771</v>
      </c>
      <c r="C869" t="s">
        <v>11</v>
      </c>
      <c r="D869" t="s">
        <v>55</v>
      </c>
      <c r="E869" t="s">
        <v>45</v>
      </c>
      <c r="F869" t="s">
        <v>28</v>
      </c>
      <c r="G869" t="s">
        <v>36</v>
      </c>
      <c r="H869" s="2">
        <v>129.72</v>
      </c>
      <c r="I869">
        <v>12</v>
      </c>
      <c r="J869" s="2">
        <v>1556.64</v>
      </c>
    </row>
    <row r="870" spans="1:10" x14ac:dyDescent="0.25">
      <c r="A870" t="s">
        <v>930</v>
      </c>
      <c r="B870" s="16">
        <v>45863</v>
      </c>
      <c r="C870" t="s">
        <v>17</v>
      </c>
      <c r="D870" t="s">
        <v>55</v>
      </c>
      <c r="E870" t="s">
        <v>13</v>
      </c>
      <c r="F870" t="s">
        <v>28</v>
      </c>
      <c r="G870" t="s">
        <v>20</v>
      </c>
      <c r="H870" s="2">
        <v>145.37</v>
      </c>
      <c r="I870">
        <v>20</v>
      </c>
      <c r="J870" s="2">
        <v>2907.4</v>
      </c>
    </row>
    <row r="871" spans="1:10" x14ac:dyDescent="0.25">
      <c r="A871" t="s">
        <v>931</v>
      </c>
      <c r="B871" s="16">
        <v>45687</v>
      </c>
      <c r="C871" t="s">
        <v>17</v>
      </c>
      <c r="D871" t="s">
        <v>31</v>
      </c>
      <c r="E871" t="s">
        <v>41</v>
      </c>
      <c r="F871" t="s">
        <v>19</v>
      </c>
      <c r="G871" t="s">
        <v>15</v>
      </c>
      <c r="H871" s="2">
        <v>126.97</v>
      </c>
      <c r="I871">
        <v>6</v>
      </c>
      <c r="J871" s="2">
        <v>761.82</v>
      </c>
    </row>
    <row r="872" spans="1:10" x14ac:dyDescent="0.25">
      <c r="A872" t="s">
        <v>932</v>
      </c>
      <c r="B872" s="16">
        <v>45994</v>
      </c>
      <c r="C872" t="s">
        <v>34</v>
      </c>
      <c r="D872" t="s">
        <v>26</v>
      </c>
      <c r="E872" t="s">
        <v>45</v>
      </c>
      <c r="F872" t="s">
        <v>39</v>
      </c>
      <c r="G872" t="s">
        <v>20</v>
      </c>
      <c r="H872" s="2">
        <v>118.17</v>
      </c>
      <c r="I872">
        <v>17</v>
      </c>
      <c r="J872" s="2">
        <v>2008.89</v>
      </c>
    </row>
    <row r="873" spans="1:10" x14ac:dyDescent="0.25">
      <c r="A873" t="s">
        <v>933</v>
      </c>
      <c r="B873" s="16">
        <v>45919</v>
      </c>
      <c r="C873" t="s">
        <v>17</v>
      </c>
      <c r="D873" t="s">
        <v>26</v>
      </c>
      <c r="E873" t="s">
        <v>18</v>
      </c>
      <c r="F873" t="s">
        <v>14</v>
      </c>
      <c r="G873" t="s">
        <v>20</v>
      </c>
      <c r="H873" s="2">
        <v>153.12</v>
      </c>
      <c r="I873">
        <v>17</v>
      </c>
      <c r="J873" s="2">
        <v>2603.04</v>
      </c>
    </row>
    <row r="874" spans="1:10" x14ac:dyDescent="0.25">
      <c r="A874" t="s">
        <v>934</v>
      </c>
      <c r="B874" s="16">
        <v>45676</v>
      </c>
      <c r="C874" t="s">
        <v>30</v>
      </c>
      <c r="D874" t="s">
        <v>12</v>
      </c>
      <c r="E874" t="s">
        <v>45</v>
      </c>
      <c r="F874" t="s">
        <v>14</v>
      </c>
      <c r="G874" t="s">
        <v>15</v>
      </c>
      <c r="H874" s="2">
        <v>64.150000000000006</v>
      </c>
      <c r="I874">
        <v>12</v>
      </c>
      <c r="J874" s="2">
        <v>769.8</v>
      </c>
    </row>
    <row r="875" spans="1:10" x14ac:dyDescent="0.25">
      <c r="A875" t="s">
        <v>935</v>
      </c>
      <c r="B875" s="16">
        <v>45799</v>
      </c>
      <c r="C875" t="s">
        <v>34</v>
      </c>
      <c r="D875" t="s">
        <v>12</v>
      </c>
      <c r="E875" t="s">
        <v>41</v>
      </c>
      <c r="F875" t="s">
        <v>61</v>
      </c>
      <c r="G875" t="s">
        <v>20</v>
      </c>
      <c r="H875" s="2">
        <v>70.02</v>
      </c>
      <c r="I875">
        <v>13</v>
      </c>
      <c r="J875" s="2">
        <v>910.26</v>
      </c>
    </row>
    <row r="876" spans="1:10" x14ac:dyDescent="0.25">
      <c r="A876" t="s">
        <v>936</v>
      </c>
      <c r="B876" s="16">
        <v>45760</v>
      </c>
      <c r="C876" t="s">
        <v>11</v>
      </c>
      <c r="D876" t="s">
        <v>12</v>
      </c>
      <c r="E876" t="s">
        <v>27</v>
      </c>
      <c r="F876" t="s">
        <v>19</v>
      </c>
      <c r="G876" t="s">
        <v>15</v>
      </c>
      <c r="H876" s="2">
        <v>219.59</v>
      </c>
      <c r="I876">
        <v>17</v>
      </c>
      <c r="J876" s="2">
        <v>3733.03</v>
      </c>
    </row>
    <row r="877" spans="1:10" x14ac:dyDescent="0.25">
      <c r="A877" t="s">
        <v>937</v>
      </c>
      <c r="B877" s="16">
        <v>45939</v>
      </c>
      <c r="C877" t="s">
        <v>17</v>
      </c>
      <c r="D877" t="s">
        <v>55</v>
      </c>
      <c r="E877" t="s">
        <v>18</v>
      </c>
      <c r="F877" t="s">
        <v>32</v>
      </c>
      <c r="G877" t="s">
        <v>36</v>
      </c>
      <c r="H877" s="2">
        <v>238.15</v>
      </c>
      <c r="I877">
        <v>10</v>
      </c>
      <c r="J877" s="2">
        <v>2381.5</v>
      </c>
    </row>
    <row r="878" spans="1:10" x14ac:dyDescent="0.25">
      <c r="A878" t="s">
        <v>938</v>
      </c>
      <c r="B878" s="16">
        <v>45799</v>
      </c>
      <c r="C878" t="s">
        <v>25</v>
      </c>
      <c r="D878" t="s">
        <v>26</v>
      </c>
      <c r="E878" t="s">
        <v>41</v>
      </c>
      <c r="F878" t="s">
        <v>61</v>
      </c>
      <c r="G878" t="s">
        <v>20</v>
      </c>
      <c r="H878" s="2">
        <v>112.13</v>
      </c>
      <c r="I878">
        <v>8</v>
      </c>
      <c r="J878" s="2">
        <v>897.04</v>
      </c>
    </row>
    <row r="879" spans="1:10" x14ac:dyDescent="0.25">
      <c r="A879" t="s">
        <v>939</v>
      </c>
      <c r="B879" s="16">
        <v>45660</v>
      </c>
      <c r="C879" t="s">
        <v>30</v>
      </c>
      <c r="D879" t="s">
        <v>31</v>
      </c>
      <c r="E879" t="s">
        <v>18</v>
      </c>
      <c r="F879" t="s">
        <v>19</v>
      </c>
      <c r="G879" t="s">
        <v>20</v>
      </c>
      <c r="H879" s="2">
        <v>89.56</v>
      </c>
      <c r="I879">
        <v>9</v>
      </c>
      <c r="J879" s="2">
        <v>806.04</v>
      </c>
    </row>
    <row r="880" spans="1:10" x14ac:dyDescent="0.25">
      <c r="A880" t="s">
        <v>940</v>
      </c>
      <c r="B880" s="16">
        <v>45695</v>
      </c>
      <c r="C880" t="s">
        <v>34</v>
      </c>
      <c r="D880" t="s">
        <v>35</v>
      </c>
      <c r="E880" t="s">
        <v>45</v>
      </c>
      <c r="F880" t="s">
        <v>39</v>
      </c>
      <c r="G880" t="s">
        <v>20</v>
      </c>
      <c r="H880" s="2">
        <v>171.68</v>
      </c>
      <c r="I880">
        <v>17</v>
      </c>
      <c r="J880" s="2">
        <v>2918.56</v>
      </c>
    </row>
    <row r="881" spans="1:10" x14ac:dyDescent="0.25">
      <c r="A881" t="s">
        <v>941</v>
      </c>
      <c r="B881" s="16">
        <v>45789</v>
      </c>
      <c r="C881" t="s">
        <v>25</v>
      </c>
      <c r="D881" t="s">
        <v>35</v>
      </c>
      <c r="E881" t="s">
        <v>27</v>
      </c>
      <c r="F881" t="s">
        <v>61</v>
      </c>
      <c r="G881" t="s">
        <v>36</v>
      </c>
      <c r="H881" s="2">
        <v>119.92</v>
      </c>
      <c r="I881">
        <v>18</v>
      </c>
      <c r="J881" s="2">
        <v>2158.56</v>
      </c>
    </row>
    <row r="882" spans="1:10" x14ac:dyDescent="0.25">
      <c r="A882" t="s">
        <v>942</v>
      </c>
      <c r="B882" s="16">
        <v>45946</v>
      </c>
      <c r="C882" t="s">
        <v>30</v>
      </c>
      <c r="D882" t="s">
        <v>35</v>
      </c>
      <c r="E882" t="s">
        <v>41</v>
      </c>
      <c r="F882" t="s">
        <v>28</v>
      </c>
      <c r="G882" t="s">
        <v>36</v>
      </c>
      <c r="H882" s="2">
        <v>35.58</v>
      </c>
      <c r="I882">
        <v>16</v>
      </c>
      <c r="J882" s="2">
        <v>569.28</v>
      </c>
    </row>
    <row r="883" spans="1:10" x14ac:dyDescent="0.25">
      <c r="A883" t="s">
        <v>943</v>
      </c>
      <c r="B883" s="16">
        <v>45958</v>
      </c>
      <c r="C883" t="s">
        <v>38</v>
      </c>
      <c r="D883" t="s">
        <v>22</v>
      </c>
      <c r="E883" t="s">
        <v>13</v>
      </c>
      <c r="F883" t="s">
        <v>19</v>
      </c>
      <c r="G883" t="s">
        <v>36</v>
      </c>
      <c r="H883" s="2">
        <v>64.349999999999994</v>
      </c>
      <c r="I883">
        <v>1</v>
      </c>
      <c r="J883" s="2">
        <v>64.349999999999994</v>
      </c>
    </row>
    <row r="884" spans="1:10" x14ac:dyDescent="0.25">
      <c r="A884" t="s">
        <v>944</v>
      </c>
      <c r="B884" s="16">
        <v>45982</v>
      </c>
      <c r="C884" t="s">
        <v>17</v>
      </c>
      <c r="D884" t="s">
        <v>12</v>
      </c>
      <c r="E884" t="s">
        <v>23</v>
      </c>
      <c r="F884" t="s">
        <v>39</v>
      </c>
      <c r="G884" t="s">
        <v>36</v>
      </c>
      <c r="H884" s="2">
        <v>187.51</v>
      </c>
      <c r="I884">
        <v>8</v>
      </c>
      <c r="J884" s="2">
        <v>1500.08</v>
      </c>
    </row>
    <row r="885" spans="1:10" x14ac:dyDescent="0.25">
      <c r="A885" t="s">
        <v>945</v>
      </c>
      <c r="B885" s="16">
        <v>45869</v>
      </c>
      <c r="C885" t="s">
        <v>25</v>
      </c>
      <c r="D885" t="s">
        <v>55</v>
      </c>
      <c r="E885" t="s">
        <v>45</v>
      </c>
      <c r="F885" t="s">
        <v>28</v>
      </c>
      <c r="G885" t="s">
        <v>36</v>
      </c>
      <c r="H885" s="2">
        <v>174.96</v>
      </c>
      <c r="I885">
        <v>12</v>
      </c>
      <c r="J885" s="2">
        <v>2099.52</v>
      </c>
    </row>
    <row r="886" spans="1:10" x14ac:dyDescent="0.25">
      <c r="A886" t="s">
        <v>946</v>
      </c>
      <c r="B886" s="16">
        <v>45785</v>
      </c>
      <c r="C886" t="s">
        <v>11</v>
      </c>
      <c r="D886" t="s">
        <v>31</v>
      </c>
      <c r="E886" t="s">
        <v>27</v>
      </c>
      <c r="F886" t="s">
        <v>28</v>
      </c>
      <c r="G886" t="s">
        <v>36</v>
      </c>
      <c r="H886" s="2">
        <v>35.96</v>
      </c>
      <c r="I886">
        <v>10</v>
      </c>
      <c r="J886" s="2">
        <v>359.6</v>
      </c>
    </row>
    <row r="887" spans="1:10" x14ac:dyDescent="0.25">
      <c r="A887" t="s">
        <v>947</v>
      </c>
      <c r="B887" s="16">
        <v>45696</v>
      </c>
      <c r="C887" t="s">
        <v>30</v>
      </c>
      <c r="D887" t="s">
        <v>31</v>
      </c>
      <c r="E887" t="s">
        <v>13</v>
      </c>
      <c r="F887" t="s">
        <v>32</v>
      </c>
      <c r="G887" t="s">
        <v>15</v>
      </c>
      <c r="H887" s="2">
        <v>78.83</v>
      </c>
      <c r="I887">
        <v>18</v>
      </c>
      <c r="J887" s="2">
        <v>1418.94</v>
      </c>
    </row>
    <row r="888" spans="1:10" x14ac:dyDescent="0.25">
      <c r="A888" t="s">
        <v>948</v>
      </c>
      <c r="B888" s="16">
        <v>45951</v>
      </c>
      <c r="C888" t="s">
        <v>30</v>
      </c>
      <c r="D888" t="s">
        <v>12</v>
      </c>
      <c r="E888" t="s">
        <v>27</v>
      </c>
      <c r="F888" t="s">
        <v>14</v>
      </c>
      <c r="G888" t="s">
        <v>36</v>
      </c>
      <c r="H888" s="2">
        <v>80.84</v>
      </c>
      <c r="I888">
        <v>9</v>
      </c>
      <c r="J888" s="2">
        <v>727.56</v>
      </c>
    </row>
    <row r="889" spans="1:10" x14ac:dyDescent="0.25">
      <c r="A889" t="s">
        <v>949</v>
      </c>
      <c r="B889" s="16">
        <v>45760</v>
      </c>
      <c r="C889" t="s">
        <v>17</v>
      </c>
      <c r="D889" t="s">
        <v>26</v>
      </c>
      <c r="E889" t="s">
        <v>13</v>
      </c>
      <c r="F889" t="s">
        <v>14</v>
      </c>
      <c r="G889" t="s">
        <v>15</v>
      </c>
      <c r="H889" s="2">
        <v>177.82</v>
      </c>
      <c r="I889">
        <v>8</v>
      </c>
      <c r="J889" s="2">
        <v>1422.56</v>
      </c>
    </row>
    <row r="890" spans="1:10" x14ac:dyDescent="0.25">
      <c r="A890" t="s">
        <v>950</v>
      </c>
      <c r="B890" s="16">
        <v>45761</v>
      </c>
      <c r="C890" t="s">
        <v>25</v>
      </c>
      <c r="D890" t="s">
        <v>35</v>
      </c>
      <c r="E890" t="s">
        <v>23</v>
      </c>
      <c r="F890" t="s">
        <v>39</v>
      </c>
      <c r="G890" t="s">
        <v>15</v>
      </c>
      <c r="H890" s="2">
        <v>34.340000000000003</v>
      </c>
      <c r="I890">
        <v>8</v>
      </c>
      <c r="J890" s="2">
        <v>274.72000000000003</v>
      </c>
    </row>
    <row r="891" spans="1:10" x14ac:dyDescent="0.25">
      <c r="A891" t="s">
        <v>951</v>
      </c>
      <c r="B891" s="16">
        <v>45719</v>
      </c>
      <c r="C891" t="s">
        <v>17</v>
      </c>
      <c r="D891" t="s">
        <v>12</v>
      </c>
      <c r="E891" t="s">
        <v>41</v>
      </c>
      <c r="F891" t="s">
        <v>42</v>
      </c>
      <c r="G891" t="s">
        <v>15</v>
      </c>
      <c r="H891" s="2">
        <v>52.9</v>
      </c>
      <c r="I891">
        <v>3</v>
      </c>
      <c r="J891" s="2">
        <v>158.69999999999999</v>
      </c>
    </row>
    <row r="892" spans="1:10" x14ac:dyDescent="0.25">
      <c r="A892" t="s">
        <v>952</v>
      </c>
      <c r="B892" s="16">
        <v>45935</v>
      </c>
      <c r="C892" t="s">
        <v>38</v>
      </c>
      <c r="D892" t="s">
        <v>35</v>
      </c>
      <c r="E892" t="s">
        <v>18</v>
      </c>
      <c r="F892" t="s">
        <v>32</v>
      </c>
      <c r="G892" t="s">
        <v>36</v>
      </c>
      <c r="H892" s="2">
        <v>205.98</v>
      </c>
      <c r="I892">
        <v>2</v>
      </c>
      <c r="J892" s="2">
        <v>411.96</v>
      </c>
    </row>
    <row r="893" spans="1:10" x14ac:dyDescent="0.25">
      <c r="A893" t="s">
        <v>953</v>
      </c>
      <c r="B893" s="16">
        <v>45952</v>
      </c>
      <c r="C893" t="s">
        <v>38</v>
      </c>
      <c r="D893" t="s">
        <v>26</v>
      </c>
      <c r="E893" t="s">
        <v>18</v>
      </c>
      <c r="F893" t="s">
        <v>32</v>
      </c>
      <c r="G893" t="s">
        <v>36</v>
      </c>
      <c r="H893" s="2">
        <v>69.28</v>
      </c>
      <c r="I893">
        <v>9</v>
      </c>
      <c r="J893" s="2">
        <v>623.52</v>
      </c>
    </row>
    <row r="894" spans="1:10" x14ac:dyDescent="0.25">
      <c r="A894" t="s">
        <v>954</v>
      </c>
      <c r="B894" s="16">
        <v>45771</v>
      </c>
      <c r="C894" t="s">
        <v>30</v>
      </c>
      <c r="D894" t="s">
        <v>22</v>
      </c>
      <c r="E894" t="s">
        <v>18</v>
      </c>
      <c r="F894" t="s">
        <v>39</v>
      </c>
      <c r="G894" t="s">
        <v>36</v>
      </c>
      <c r="H894" s="2">
        <v>173.6</v>
      </c>
      <c r="I894">
        <v>19</v>
      </c>
      <c r="J894" s="2">
        <v>3298.4</v>
      </c>
    </row>
    <row r="895" spans="1:10" x14ac:dyDescent="0.25">
      <c r="A895" t="s">
        <v>955</v>
      </c>
      <c r="B895" s="16">
        <v>45902</v>
      </c>
      <c r="C895" t="s">
        <v>11</v>
      </c>
      <c r="D895" t="s">
        <v>55</v>
      </c>
      <c r="E895" t="s">
        <v>13</v>
      </c>
      <c r="F895" t="s">
        <v>61</v>
      </c>
      <c r="G895" t="s">
        <v>20</v>
      </c>
      <c r="H895" s="2">
        <v>82.4</v>
      </c>
      <c r="I895">
        <v>18</v>
      </c>
      <c r="J895" s="2">
        <v>1483.2</v>
      </c>
    </row>
    <row r="896" spans="1:10" x14ac:dyDescent="0.25">
      <c r="A896" t="s">
        <v>956</v>
      </c>
      <c r="B896" s="16">
        <v>45747</v>
      </c>
      <c r="C896" t="s">
        <v>11</v>
      </c>
      <c r="D896" t="s">
        <v>12</v>
      </c>
      <c r="E896" t="s">
        <v>18</v>
      </c>
      <c r="F896" t="s">
        <v>61</v>
      </c>
      <c r="G896" t="s">
        <v>36</v>
      </c>
      <c r="H896" s="2">
        <v>51.88</v>
      </c>
      <c r="I896">
        <v>15</v>
      </c>
      <c r="J896" s="2">
        <v>778.2</v>
      </c>
    </row>
    <row r="897" spans="1:10" x14ac:dyDescent="0.25">
      <c r="A897" t="s">
        <v>957</v>
      </c>
      <c r="B897" s="16">
        <v>46010</v>
      </c>
      <c r="C897" t="s">
        <v>11</v>
      </c>
      <c r="D897" t="s">
        <v>12</v>
      </c>
      <c r="E897" t="s">
        <v>23</v>
      </c>
      <c r="F897" t="s">
        <v>61</v>
      </c>
      <c r="G897" t="s">
        <v>20</v>
      </c>
      <c r="H897" s="2">
        <v>83.5</v>
      </c>
      <c r="I897">
        <v>1</v>
      </c>
      <c r="J897" s="2">
        <v>83.5</v>
      </c>
    </row>
    <row r="898" spans="1:10" x14ac:dyDescent="0.25">
      <c r="A898" t="s">
        <v>958</v>
      </c>
      <c r="B898" s="16">
        <v>45709</v>
      </c>
      <c r="C898" t="s">
        <v>34</v>
      </c>
      <c r="D898" t="s">
        <v>55</v>
      </c>
      <c r="E898" t="s">
        <v>13</v>
      </c>
      <c r="F898" t="s">
        <v>14</v>
      </c>
      <c r="G898" t="s">
        <v>20</v>
      </c>
      <c r="H898" s="2">
        <v>188.9</v>
      </c>
      <c r="I898">
        <v>11</v>
      </c>
      <c r="J898" s="2">
        <v>2077.9</v>
      </c>
    </row>
    <row r="899" spans="1:10" x14ac:dyDescent="0.25">
      <c r="A899" t="s">
        <v>959</v>
      </c>
      <c r="B899" s="16">
        <v>45792</v>
      </c>
      <c r="C899" t="s">
        <v>34</v>
      </c>
      <c r="D899" t="s">
        <v>31</v>
      </c>
      <c r="E899" t="s">
        <v>18</v>
      </c>
      <c r="F899" t="s">
        <v>32</v>
      </c>
      <c r="G899" t="s">
        <v>36</v>
      </c>
      <c r="H899" s="2">
        <v>218.25</v>
      </c>
      <c r="I899">
        <v>8</v>
      </c>
      <c r="J899" s="2">
        <v>1746</v>
      </c>
    </row>
    <row r="900" spans="1:10" x14ac:dyDescent="0.25">
      <c r="A900" t="s">
        <v>960</v>
      </c>
      <c r="B900" s="16">
        <v>45752</v>
      </c>
      <c r="C900" t="s">
        <v>38</v>
      </c>
      <c r="D900" t="s">
        <v>26</v>
      </c>
      <c r="E900" t="s">
        <v>41</v>
      </c>
      <c r="F900" t="s">
        <v>28</v>
      </c>
      <c r="G900" t="s">
        <v>36</v>
      </c>
      <c r="H900" s="2">
        <v>212.65</v>
      </c>
      <c r="I900">
        <v>16</v>
      </c>
      <c r="J900" s="2">
        <v>3402.4</v>
      </c>
    </row>
    <row r="901" spans="1:10" x14ac:dyDescent="0.25">
      <c r="A901" t="s">
        <v>961</v>
      </c>
      <c r="B901" s="16">
        <v>45844</v>
      </c>
      <c r="C901" t="s">
        <v>34</v>
      </c>
      <c r="D901" t="s">
        <v>31</v>
      </c>
      <c r="E901" t="s">
        <v>23</v>
      </c>
      <c r="F901" t="s">
        <v>42</v>
      </c>
      <c r="G901" t="s">
        <v>15</v>
      </c>
      <c r="H901" s="2">
        <v>117.38</v>
      </c>
      <c r="I901">
        <v>13</v>
      </c>
      <c r="J901" s="2">
        <v>1525.94</v>
      </c>
    </row>
    <row r="902" spans="1:10" x14ac:dyDescent="0.25">
      <c r="A902" t="s">
        <v>962</v>
      </c>
      <c r="B902" s="16">
        <v>45952</v>
      </c>
      <c r="C902" t="s">
        <v>11</v>
      </c>
      <c r="D902" t="s">
        <v>12</v>
      </c>
      <c r="E902" t="s">
        <v>13</v>
      </c>
      <c r="F902" t="s">
        <v>39</v>
      </c>
      <c r="G902" t="s">
        <v>15</v>
      </c>
      <c r="H902" s="2">
        <v>176.98</v>
      </c>
      <c r="I902">
        <v>8</v>
      </c>
      <c r="J902" s="2">
        <v>1415.84</v>
      </c>
    </row>
    <row r="903" spans="1:10" x14ac:dyDescent="0.25">
      <c r="A903" t="s">
        <v>963</v>
      </c>
      <c r="B903" s="16">
        <v>45942</v>
      </c>
      <c r="C903" t="s">
        <v>38</v>
      </c>
      <c r="D903" t="s">
        <v>26</v>
      </c>
      <c r="E903" t="s">
        <v>23</v>
      </c>
      <c r="F903" t="s">
        <v>39</v>
      </c>
      <c r="G903" t="s">
        <v>20</v>
      </c>
      <c r="H903" s="2">
        <v>75.099999999999994</v>
      </c>
      <c r="I903">
        <v>14</v>
      </c>
      <c r="J903" s="2">
        <v>1051.4000000000001</v>
      </c>
    </row>
    <row r="904" spans="1:10" x14ac:dyDescent="0.25">
      <c r="A904" t="s">
        <v>964</v>
      </c>
      <c r="B904" s="16">
        <v>45734</v>
      </c>
      <c r="C904" t="s">
        <v>11</v>
      </c>
      <c r="D904" t="s">
        <v>26</v>
      </c>
      <c r="E904" t="s">
        <v>41</v>
      </c>
      <c r="F904" t="s">
        <v>61</v>
      </c>
      <c r="G904" t="s">
        <v>15</v>
      </c>
      <c r="H904" s="2">
        <v>94.49</v>
      </c>
      <c r="I904">
        <v>16</v>
      </c>
      <c r="J904" s="2">
        <v>1511.84</v>
      </c>
    </row>
    <row r="905" spans="1:10" x14ac:dyDescent="0.25">
      <c r="A905" t="s">
        <v>965</v>
      </c>
      <c r="B905" s="16">
        <v>45980</v>
      </c>
      <c r="C905" t="s">
        <v>25</v>
      </c>
      <c r="D905" t="s">
        <v>12</v>
      </c>
      <c r="E905" t="s">
        <v>13</v>
      </c>
      <c r="F905" t="s">
        <v>39</v>
      </c>
      <c r="G905" t="s">
        <v>36</v>
      </c>
      <c r="H905" s="2">
        <v>227.19</v>
      </c>
      <c r="I905">
        <v>17</v>
      </c>
      <c r="J905" s="2">
        <v>3862.23</v>
      </c>
    </row>
    <row r="906" spans="1:10" x14ac:dyDescent="0.25">
      <c r="A906" t="s">
        <v>966</v>
      </c>
      <c r="B906" s="16">
        <v>45811</v>
      </c>
      <c r="C906" t="s">
        <v>25</v>
      </c>
      <c r="D906" t="s">
        <v>55</v>
      </c>
      <c r="E906" t="s">
        <v>45</v>
      </c>
      <c r="F906" t="s">
        <v>61</v>
      </c>
      <c r="G906" t="s">
        <v>15</v>
      </c>
      <c r="H906" s="2">
        <v>32.86</v>
      </c>
      <c r="I906">
        <v>9</v>
      </c>
      <c r="J906" s="2">
        <v>295.74</v>
      </c>
    </row>
    <row r="907" spans="1:10" x14ac:dyDescent="0.25">
      <c r="A907" t="s">
        <v>967</v>
      </c>
      <c r="B907" s="16">
        <v>46011</v>
      </c>
      <c r="C907" t="s">
        <v>11</v>
      </c>
      <c r="D907" t="s">
        <v>26</v>
      </c>
      <c r="E907" t="s">
        <v>13</v>
      </c>
      <c r="F907" t="s">
        <v>61</v>
      </c>
      <c r="G907" t="s">
        <v>20</v>
      </c>
      <c r="H907" s="2">
        <v>48.81</v>
      </c>
      <c r="I907">
        <v>6</v>
      </c>
      <c r="J907" s="2">
        <v>292.86</v>
      </c>
    </row>
    <row r="908" spans="1:10" x14ac:dyDescent="0.25">
      <c r="A908" t="s">
        <v>968</v>
      </c>
      <c r="B908" s="16">
        <v>45707</v>
      </c>
      <c r="C908" t="s">
        <v>17</v>
      </c>
      <c r="D908" t="s">
        <v>35</v>
      </c>
      <c r="E908" t="s">
        <v>13</v>
      </c>
      <c r="F908" t="s">
        <v>32</v>
      </c>
      <c r="G908" t="s">
        <v>36</v>
      </c>
      <c r="H908" s="2">
        <v>75.73</v>
      </c>
      <c r="I908">
        <v>15</v>
      </c>
      <c r="J908" s="2">
        <v>1135.95</v>
      </c>
    </row>
    <row r="909" spans="1:10" x14ac:dyDescent="0.25">
      <c r="A909" t="s">
        <v>969</v>
      </c>
      <c r="B909" s="16">
        <v>45944</v>
      </c>
      <c r="C909" t="s">
        <v>34</v>
      </c>
      <c r="D909" t="s">
        <v>35</v>
      </c>
      <c r="E909" t="s">
        <v>45</v>
      </c>
      <c r="F909" t="s">
        <v>61</v>
      </c>
      <c r="G909" t="s">
        <v>15</v>
      </c>
      <c r="H909" s="2">
        <v>35.840000000000003</v>
      </c>
      <c r="I909">
        <v>18</v>
      </c>
      <c r="J909" s="2">
        <v>645.12</v>
      </c>
    </row>
    <row r="910" spans="1:10" x14ac:dyDescent="0.25">
      <c r="A910" t="s">
        <v>970</v>
      </c>
      <c r="B910" s="16">
        <v>45837</v>
      </c>
      <c r="C910" t="s">
        <v>30</v>
      </c>
      <c r="D910" t="s">
        <v>55</v>
      </c>
      <c r="E910" t="s">
        <v>18</v>
      </c>
      <c r="F910" t="s">
        <v>28</v>
      </c>
      <c r="G910" t="s">
        <v>20</v>
      </c>
      <c r="H910" s="2">
        <v>69.92</v>
      </c>
      <c r="I910">
        <v>20</v>
      </c>
      <c r="J910" s="2">
        <v>1398.4</v>
      </c>
    </row>
    <row r="911" spans="1:10" x14ac:dyDescent="0.25">
      <c r="A911" t="s">
        <v>971</v>
      </c>
      <c r="B911" s="16">
        <v>45933</v>
      </c>
      <c r="C911" t="s">
        <v>34</v>
      </c>
      <c r="D911" t="s">
        <v>35</v>
      </c>
      <c r="E911" t="s">
        <v>13</v>
      </c>
      <c r="F911" t="s">
        <v>28</v>
      </c>
      <c r="G911" t="s">
        <v>20</v>
      </c>
      <c r="H911" s="2">
        <v>158.27000000000001</v>
      </c>
      <c r="I911">
        <v>6</v>
      </c>
      <c r="J911" s="2">
        <v>949.62</v>
      </c>
    </row>
    <row r="912" spans="1:10" x14ac:dyDescent="0.25">
      <c r="A912" t="s">
        <v>972</v>
      </c>
      <c r="B912" s="16">
        <v>45907</v>
      </c>
      <c r="C912" t="s">
        <v>11</v>
      </c>
      <c r="D912" t="s">
        <v>31</v>
      </c>
      <c r="E912" t="s">
        <v>18</v>
      </c>
      <c r="F912" t="s">
        <v>32</v>
      </c>
      <c r="G912" t="s">
        <v>36</v>
      </c>
      <c r="H912" s="2">
        <v>122.71</v>
      </c>
      <c r="I912">
        <v>15</v>
      </c>
      <c r="J912" s="2">
        <v>1840.65</v>
      </c>
    </row>
    <row r="913" spans="1:10" x14ac:dyDescent="0.25">
      <c r="A913" t="s">
        <v>973</v>
      </c>
      <c r="B913" s="16">
        <v>45981</v>
      </c>
      <c r="C913" t="s">
        <v>30</v>
      </c>
      <c r="D913" t="s">
        <v>12</v>
      </c>
      <c r="E913" t="s">
        <v>13</v>
      </c>
      <c r="F913" t="s">
        <v>61</v>
      </c>
      <c r="G913" t="s">
        <v>20</v>
      </c>
      <c r="H913" s="2">
        <v>226.39</v>
      </c>
      <c r="I913">
        <v>5</v>
      </c>
      <c r="J913" s="2">
        <v>1131.95</v>
      </c>
    </row>
    <row r="914" spans="1:10" x14ac:dyDescent="0.25">
      <c r="A914" t="s">
        <v>974</v>
      </c>
      <c r="B914" s="16">
        <v>45971</v>
      </c>
      <c r="C914" t="s">
        <v>38</v>
      </c>
      <c r="D914" t="s">
        <v>22</v>
      </c>
      <c r="E914" t="s">
        <v>45</v>
      </c>
      <c r="F914" t="s">
        <v>14</v>
      </c>
      <c r="G914" t="s">
        <v>36</v>
      </c>
      <c r="H914" s="2">
        <v>209.84</v>
      </c>
      <c r="I914">
        <v>19</v>
      </c>
      <c r="J914" s="2">
        <v>3986.96</v>
      </c>
    </row>
    <row r="915" spans="1:10" x14ac:dyDescent="0.25">
      <c r="A915" t="s">
        <v>975</v>
      </c>
      <c r="B915" s="16">
        <v>45774</v>
      </c>
      <c r="C915" t="s">
        <v>34</v>
      </c>
      <c r="D915" t="s">
        <v>12</v>
      </c>
      <c r="E915" t="s">
        <v>13</v>
      </c>
      <c r="F915" t="s">
        <v>28</v>
      </c>
      <c r="G915" t="s">
        <v>36</v>
      </c>
      <c r="H915" s="2">
        <v>105.2</v>
      </c>
      <c r="I915">
        <v>11</v>
      </c>
      <c r="J915" s="2">
        <v>1157.2</v>
      </c>
    </row>
    <row r="916" spans="1:10" x14ac:dyDescent="0.25">
      <c r="A916" t="s">
        <v>976</v>
      </c>
      <c r="B916" s="16">
        <v>45967</v>
      </c>
      <c r="C916" t="s">
        <v>34</v>
      </c>
      <c r="D916" t="s">
        <v>31</v>
      </c>
      <c r="E916" t="s">
        <v>13</v>
      </c>
      <c r="F916" t="s">
        <v>28</v>
      </c>
      <c r="G916" t="s">
        <v>20</v>
      </c>
      <c r="H916" s="2">
        <v>87.07</v>
      </c>
      <c r="I916">
        <v>13</v>
      </c>
      <c r="J916" s="2">
        <v>1131.9100000000001</v>
      </c>
    </row>
    <row r="917" spans="1:10" x14ac:dyDescent="0.25">
      <c r="A917" t="s">
        <v>977</v>
      </c>
      <c r="B917" s="16">
        <v>45924</v>
      </c>
      <c r="C917" t="s">
        <v>38</v>
      </c>
      <c r="D917" t="s">
        <v>26</v>
      </c>
      <c r="E917" t="s">
        <v>23</v>
      </c>
      <c r="F917" t="s">
        <v>39</v>
      </c>
      <c r="G917" t="s">
        <v>15</v>
      </c>
      <c r="H917" s="2">
        <v>113.53</v>
      </c>
      <c r="I917">
        <v>15</v>
      </c>
      <c r="J917" s="2">
        <v>1702.95</v>
      </c>
    </row>
    <row r="918" spans="1:10" x14ac:dyDescent="0.25">
      <c r="A918" t="s">
        <v>978</v>
      </c>
      <c r="B918" s="16">
        <v>45722</v>
      </c>
      <c r="C918" t="s">
        <v>17</v>
      </c>
      <c r="D918" t="s">
        <v>35</v>
      </c>
      <c r="E918" t="s">
        <v>27</v>
      </c>
      <c r="F918" t="s">
        <v>28</v>
      </c>
      <c r="G918" t="s">
        <v>20</v>
      </c>
      <c r="H918" s="2">
        <v>159.86000000000001</v>
      </c>
      <c r="I918">
        <v>8</v>
      </c>
      <c r="J918" s="2">
        <v>1278.8800000000001</v>
      </c>
    </row>
    <row r="919" spans="1:10" x14ac:dyDescent="0.25">
      <c r="A919" t="s">
        <v>979</v>
      </c>
      <c r="B919" s="16">
        <v>45698</v>
      </c>
      <c r="C919" t="s">
        <v>30</v>
      </c>
      <c r="D919" t="s">
        <v>31</v>
      </c>
      <c r="E919" t="s">
        <v>45</v>
      </c>
      <c r="F919" t="s">
        <v>19</v>
      </c>
      <c r="G919" t="s">
        <v>15</v>
      </c>
      <c r="H919" s="2">
        <v>88.97</v>
      </c>
      <c r="I919">
        <v>7</v>
      </c>
      <c r="J919" s="2">
        <v>622.79</v>
      </c>
    </row>
    <row r="920" spans="1:10" x14ac:dyDescent="0.25">
      <c r="A920" t="s">
        <v>980</v>
      </c>
      <c r="B920" s="16">
        <v>45900</v>
      </c>
      <c r="C920" t="s">
        <v>11</v>
      </c>
      <c r="D920" t="s">
        <v>22</v>
      </c>
      <c r="E920" t="s">
        <v>41</v>
      </c>
      <c r="F920" t="s">
        <v>42</v>
      </c>
      <c r="G920" t="s">
        <v>15</v>
      </c>
      <c r="H920" s="2">
        <v>167.31</v>
      </c>
      <c r="I920">
        <v>18</v>
      </c>
      <c r="J920" s="2">
        <v>3011.58</v>
      </c>
    </row>
    <row r="921" spans="1:10" x14ac:dyDescent="0.25">
      <c r="A921" t="s">
        <v>981</v>
      </c>
      <c r="B921" s="16">
        <v>45711</v>
      </c>
      <c r="C921" t="s">
        <v>25</v>
      </c>
      <c r="D921" t="s">
        <v>26</v>
      </c>
      <c r="E921" t="s">
        <v>45</v>
      </c>
      <c r="F921" t="s">
        <v>28</v>
      </c>
      <c r="G921" t="s">
        <v>36</v>
      </c>
      <c r="H921" s="2">
        <v>120.07</v>
      </c>
      <c r="I921">
        <v>9</v>
      </c>
      <c r="J921" s="2">
        <v>1080.6300000000001</v>
      </c>
    </row>
    <row r="922" spans="1:10" x14ac:dyDescent="0.25">
      <c r="A922" t="s">
        <v>982</v>
      </c>
      <c r="B922" s="16">
        <v>45816</v>
      </c>
      <c r="C922" t="s">
        <v>30</v>
      </c>
      <c r="D922" t="s">
        <v>12</v>
      </c>
      <c r="E922" t="s">
        <v>13</v>
      </c>
      <c r="F922" t="s">
        <v>61</v>
      </c>
      <c r="G922" t="s">
        <v>20</v>
      </c>
      <c r="H922" s="2">
        <v>151.44999999999999</v>
      </c>
      <c r="I922">
        <v>8</v>
      </c>
      <c r="J922" s="2">
        <v>1211.5999999999999</v>
      </c>
    </row>
    <row r="923" spans="1:10" x14ac:dyDescent="0.25">
      <c r="A923" t="s">
        <v>983</v>
      </c>
      <c r="B923" s="16">
        <v>45722</v>
      </c>
      <c r="C923" t="s">
        <v>25</v>
      </c>
      <c r="D923" t="s">
        <v>26</v>
      </c>
      <c r="E923" t="s">
        <v>45</v>
      </c>
      <c r="F923" t="s">
        <v>19</v>
      </c>
      <c r="G923" t="s">
        <v>20</v>
      </c>
      <c r="H923" s="2">
        <v>125.95</v>
      </c>
      <c r="I923">
        <v>5</v>
      </c>
      <c r="J923" s="2">
        <v>629.75</v>
      </c>
    </row>
    <row r="924" spans="1:10" x14ac:dyDescent="0.25">
      <c r="A924" t="s">
        <v>984</v>
      </c>
      <c r="B924" s="16">
        <v>45840</v>
      </c>
      <c r="C924" t="s">
        <v>38</v>
      </c>
      <c r="D924" t="s">
        <v>31</v>
      </c>
      <c r="E924" t="s">
        <v>18</v>
      </c>
      <c r="F924" t="s">
        <v>32</v>
      </c>
      <c r="G924" t="s">
        <v>20</v>
      </c>
      <c r="H924" s="2">
        <v>94.78</v>
      </c>
      <c r="I924">
        <v>11</v>
      </c>
      <c r="J924" s="2">
        <v>1042.58</v>
      </c>
    </row>
    <row r="925" spans="1:10" x14ac:dyDescent="0.25">
      <c r="A925" t="s">
        <v>985</v>
      </c>
      <c r="B925" s="16">
        <v>45885</v>
      </c>
      <c r="C925" t="s">
        <v>17</v>
      </c>
      <c r="D925" t="s">
        <v>55</v>
      </c>
      <c r="E925" t="s">
        <v>23</v>
      </c>
      <c r="F925" t="s">
        <v>42</v>
      </c>
      <c r="G925" t="s">
        <v>20</v>
      </c>
      <c r="H925" s="2">
        <v>238.66</v>
      </c>
      <c r="I925">
        <v>5</v>
      </c>
      <c r="J925" s="2">
        <v>1193.3</v>
      </c>
    </row>
    <row r="926" spans="1:10" x14ac:dyDescent="0.25">
      <c r="A926" t="s">
        <v>986</v>
      </c>
      <c r="B926" s="16">
        <v>45891</v>
      </c>
      <c r="C926" t="s">
        <v>38</v>
      </c>
      <c r="D926" t="s">
        <v>55</v>
      </c>
      <c r="E926" t="s">
        <v>27</v>
      </c>
      <c r="F926" t="s">
        <v>28</v>
      </c>
      <c r="G926" t="s">
        <v>20</v>
      </c>
      <c r="H926" s="2">
        <v>197.99</v>
      </c>
      <c r="I926">
        <v>19</v>
      </c>
      <c r="J926" s="2">
        <v>3761.81</v>
      </c>
    </row>
    <row r="927" spans="1:10" x14ac:dyDescent="0.25">
      <c r="A927" t="s">
        <v>987</v>
      </c>
      <c r="B927" s="16">
        <v>45816</v>
      </c>
      <c r="C927" t="s">
        <v>38</v>
      </c>
      <c r="D927" t="s">
        <v>55</v>
      </c>
      <c r="E927" t="s">
        <v>23</v>
      </c>
      <c r="F927" t="s">
        <v>39</v>
      </c>
      <c r="G927" t="s">
        <v>15</v>
      </c>
      <c r="H927" s="2">
        <v>60.82</v>
      </c>
      <c r="I927">
        <v>12</v>
      </c>
      <c r="J927" s="2">
        <v>729.84</v>
      </c>
    </row>
    <row r="928" spans="1:10" x14ac:dyDescent="0.25">
      <c r="A928" t="s">
        <v>988</v>
      </c>
      <c r="B928" s="16">
        <v>45884</v>
      </c>
      <c r="C928" t="s">
        <v>34</v>
      </c>
      <c r="D928" t="s">
        <v>31</v>
      </c>
      <c r="E928" t="s">
        <v>13</v>
      </c>
      <c r="F928" t="s">
        <v>14</v>
      </c>
      <c r="G928" t="s">
        <v>36</v>
      </c>
      <c r="H928" s="2">
        <v>221.06</v>
      </c>
      <c r="I928">
        <v>10</v>
      </c>
      <c r="J928" s="2">
        <v>2210.6</v>
      </c>
    </row>
    <row r="929" spans="1:10" x14ac:dyDescent="0.25">
      <c r="A929" t="s">
        <v>989</v>
      </c>
      <c r="B929" s="16">
        <v>45663</v>
      </c>
      <c r="C929" t="s">
        <v>25</v>
      </c>
      <c r="D929" t="s">
        <v>26</v>
      </c>
      <c r="E929" t="s">
        <v>13</v>
      </c>
      <c r="F929" t="s">
        <v>32</v>
      </c>
      <c r="G929" t="s">
        <v>36</v>
      </c>
      <c r="H929" s="2">
        <v>137.22999999999999</v>
      </c>
      <c r="I929">
        <v>1</v>
      </c>
      <c r="J929" s="2">
        <v>137.22999999999999</v>
      </c>
    </row>
    <row r="930" spans="1:10" x14ac:dyDescent="0.25">
      <c r="A930" t="s">
        <v>990</v>
      </c>
      <c r="B930" s="16">
        <v>45931</v>
      </c>
      <c r="C930" t="s">
        <v>17</v>
      </c>
      <c r="D930" t="s">
        <v>31</v>
      </c>
      <c r="E930" t="s">
        <v>41</v>
      </c>
      <c r="F930" t="s">
        <v>32</v>
      </c>
      <c r="G930" t="s">
        <v>15</v>
      </c>
      <c r="H930" s="2">
        <v>226.8</v>
      </c>
      <c r="I930">
        <v>1</v>
      </c>
      <c r="J930" s="2">
        <v>226.8</v>
      </c>
    </row>
    <row r="931" spans="1:10" x14ac:dyDescent="0.25">
      <c r="A931" t="s">
        <v>991</v>
      </c>
      <c r="B931" s="16">
        <v>45878</v>
      </c>
      <c r="C931" t="s">
        <v>25</v>
      </c>
      <c r="D931" t="s">
        <v>26</v>
      </c>
      <c r="E931" t="s">
        <v>45</v>
      </c>
      <c r="F931" t="s">
        <v>42</v>
      </c>
      <c r="G931" t="s">
        <v>36</v>
      </c>
      <c r="H931" s="2">
        <v>205.97</v>
      </c>
      <c r="I931">
        <v>10</v>
      </c>
      <c r="J931" s="2">
        <v>2059.6999999999998</v>
      </c>
    </row>
    <row r="932" spans="1:10" x14ac:dyDescent="0.25">
      <c r="A932" t="s">
        <v>992</v>
      </c>
      <c r="B932" s="16">
        <v>45754</v>
      </c>
      <c r="C932" t="s">
        <v>25</v>
      </c>
      <c r="D932" t="s">
        <v>31</v>
      </c>
      <c r="E932" t="s">
        <v>41</v>
      </c>
      <c r="F932" t="s">
        <v>14</v>
      </c>
      <c r="G932" t="s">
        <v>15</v>
      </c>
      <c r="H932" s="2">
        <v>123.55</v>
      </c>
      <c r="I932">
        <v>14</v>
      </c>
      <c r="J932" s="2">
        <v>1729.7</v>
      </c>
    </row>
    <row r="933" spans="1:10" x14ac:dyDescent="0.25">
      <c r="A933" t="s">
        <v>993</v>
      </c>
      <c r="B933" s="16">
        <v>45988</v>
      </c>
      <c r="C933" t="s">
        <v>38</v>
      </c>
      <c r="D933" t="s">
        <v>26</v>
      </c>
      <c r="E933" t="s">
        <v>13</v>
      </c>
      <c r="F933" t="s">
        <v>19</v>
      </c>
      <c r="G933" t="s">
        <v>36</v>
      </c>
      <c r="H933" s="2">
        <v>34.94</v>
      </c>
      <c r="I933">
        <v>13</v>
      </c>
      <c r="J933" s="2">
        <v>454.22</v>
      </c>
    </row>
    <row r="934" spans="1:10" x14ac:dyDescent="0.25">
      <c r="A934" t="s">
        <v>994</v>
      </c>
      <c r="B934" s="16">
        <v>45978</v>
      </c>
      <c r="C934" t="s">
        <v>25</v>
      </c>
      <c r="D934" t="s">
        <v>55</v>
      </c>
      <c r="E934" t="s">
        <v>27</v>
      </c>
      <c r="F934" t="s">
        <v>28</v>
      </c>
      <c r="G934" t="s">
        <v>36</v>
      </c>
      <c r="H934" s="2">
        <v>89.11</v>
      </c>
      <c r="I934">
        <v>8</v>
      </c>
      <c r="J934" s="2">
        <v>712.88</v>
      </c>
    </row>
    <row r="935" spans="1:10" x14ac:dyDescent="0.25">
      <c r="A935" t="s">
        <v>995</v>
      </c>
      <c r="B935" s="16">
        <v>45803</v>
      </c>
      <c r="C935" t="s">
        <v>34</v>
      </c>
      <c r="D935" t="s">
        <v>31</v>
      </c>
      <c r="E935" t="s">
        <v>23</v>
      </c>
      <c r="F935" t="s">
        <v>39</v>
      </c>
      <c r="G935" t="s">
        <v>15</v>
      </c>
      <c r="H935" s="2">
        <v>149.16</v>
      </c>
      <c r="I935">
        <v>18</v>
      </c>
      <c r="J935" s="2">
        <v>2684.88</v>
      </c>
    </row>
    <row r="936" spans="1:10" x14ac:dyDescent="0.25">
      <c r="A936" t="s">
        <v>996</v>
      </c>
      <c r="B936" s="16">
        <v>45751</v>
      </c>
      <c r="C936" t="s">
        <v>34</v>
      </c>
      <c r="D936" t="s">
        <v>22</v>
      </c>
      <c r="E936" t="s">
        <v>27</v>
      </c>
      <c r="F936" t="s">
        <v>61</v>
      </c>
      <c r="G936" t="s">
        <v>20</v>
      </c>
      <c r="H936" s="2">
        <v>169.37</v>
      </c>
      <c r="I936">
        <v>5</v>
      </c>
      <c r="J936" s="2">
        <v>846.85</v>
      </c>
    </row>
    <row r="937" spans="1:10" x14ac:dyDescent="0.25">
      <c r="A937" t="s">
        <v>997</v>
      </c>
      <c r="B937" s="16">
        <v>45889</v>
      </c>
      <c r="C937" t="s">
        <v>17</v>
      </c>
      <c r="D937" t="s">
        <v>55</v>
      </c>
      <c r="E937" t="s">
        <v>41</v>
      </c>
      <c r="F937" t="s">
        <v>14</v>
      </c>
      <c r="G937" t="s">
        <v>36</v>
      </c>
      <c r="H937" s="2">
        <v>86.74</v>
      </c>
      <c r="I937">
        <v>9</v>
      </c>
      <c r="J937" s="2">
        <v>780.66</v>
      </c>
    </row>
    <row r="938" spans="1:10" x14ac:dyDescent="0.25">
      <c r="A938" t="s">
        <v>998</v>
      </c>
      <c r="B938" s="16">
        <v>45667</v>
      </c>
      <c r="C938" t="s">
        <v>11</v>
      </c>
      <c r="D938" t="s">
        <v>55</v>
      </c>
      <c r="E938" t="s">
        <v>45</v>
      </c>
      <c r="F938" t="s">
        <v>14</v>
      </c>
      <c r="G938" t="s">
        <v>15</v>
      </c>
      <c r="H938" s="2">
        <v>60.66</v>
      </c>
      <c r="I938">
        <v>5</v>
      </c>
      <c r="J938" s="2">
        <v>303.3</v>
      </c>
    </row>
    <row r="939" spans="1:10" x14ac:dyDescent="0.25">
      <c r="A939" t="s">
        <v>999</v>
      </c>
      <c r="B939" s="16">
        <v>45802</v>
      </c>
      <c r="C939" t="s">
        <v>30</v>
      </c>
      <c r="D939" t="s">
        <v>12</v>
      </c>
      <c r="E939" t="s">
        <v>41</v>
      </c>
      <c r="F939" t="s">
        <v>28</v>
      </c>
      <c r="G939" t="s">
        <v>15</v>
      </c>
      <c r="H939" s="2">
        <v>213.68</v>
      </c>
      <c r="I939">
        <v>9</v>
      </c>
      <c r="J939" s="2">
        <v>1923.12</v>
      </c>
    </row>
    <row r="940" spans="1:10" x14ac:dyDescent="0.25">
      <c r="A940" t="s">
        <v>1000</v>
      </c>
      <c r="B940" s="16">
        <v>45777</v>
      </c>
      <c r="C940" t="s">
        <v>30</v>
      </c>
      <c r="D940" t="s">
        <v>22</v>
      </c>
      <c r="E940" t="s">
        <v>41</v>
      </c>
      <c r="F940" t="s">
        <v>14</v>
      </c>
      <c r="G940" t="s">
        <v>36</v>
      </c>
      <c r="H940" s="2">
        <v>246.57</v>
      </c>
      <c r="I940">
        <v>3</v>
      </c>
      <c r="J940" s="2">
        <v>739.71</v>
      </c>
    </row>
    <row r="941" spans="1:10" x14ac:dyDescent="0.25">
      <c r="A941" t="s">
        <v>1001</v>
      </c>
      <c r="B941" s="16">
        <v>45873</v>
      </c>
      <c r="C941" t="s">
        <v>38</v>
      </c>
      <c r="D941" t="s">
        <v>35</v>
      </c>
      <c r="E941" t="s">
        <v>41</v>
      </c>
      <c r="F941" t="s">
        <v>28</v>
      </c>
      <c r="G941" t="s">
        <v>15</v>
      </c>
      <c r="H941" s="2">
        <v>145.65</v>
      </c>
      <c r="I941">
        <v>10</v>
      </c>
      <c r="J941" s="2">
        <v>1456.5</v>
      </c>
    </row>
    <row r="942" spans="1:10" x14ac:dyDescent="0.25">
      <c r="A942" t="s">
        <v>1002</v>
      </c>
      <c r="B942" s="16">
        <v>45827</v>
      </c>
      <c r="C942" t="s">
        <v>30</v>
      </c>
      <c r="D942" t="s">
        <v>22</v>
      </c>
      <c r="E942" t="s">
        <v>13</v>
      </c>
      <c r="F942" t="s">
        <v>39</v>
      </c>
      <c r="G942" t="s">
        <v>36</v>
      </c>
      <c r="H942" s="2">
        <v>67.77</v>
      </c>
      <c r="I942">
        <v>3</v>
      </c>
      <c r="J942" s="2">
        <v>203.31</v>
      </c>
    </row>
    <row r="943" spans="1:10" x14ac:dyDescent="0.25">
      <c r="A943" t="s">
        <v>1003</v>
      </c>
      <c r="B943" s="16">
        <v>45694</v>
      </c>
      <c r="C943" t="s">
        <v>38</v>
      </c>
      <c r="D943" t="s">
        <v>26</v>
      </c>
      <c r="E943" t="s">
        <v>23</v>
      </c>
      <c r="F943" t="s">
        <v>39</v>
      </c>
      <c r="G943" t="s">
        <v>36</v>
      </c>
      <c r="H943" s="2">
        <v>89.91</v>
      </c>
      <c r="I943">
        <v>18</v>
      </c>
      <c r="J943" s="2">
        <v>1618.38</v>
      </c>
    </row>
    <row r="944" spans="1:10" x14ac:dyDescent="0.25">
      <c r="A944" t="s">
        <v>1004</v>
      </c>
      <c r="B944" s="16">
        <v>45853</v>
      </c>
      <c r="C944" t="s">
        <v>11</v>
      </c>
      <c r="D944" t="s">
        <v>12</v>
      </c>
      <c r="E944" t="s">
        <v>23</v>
      </c>
      <c r="F944" t="s">
        <v>61</v>
      </c>
      <c r="G944" t="s">
        <v>36</v>
      </c>
      <c r="H944" s="2">
        <v>34.049999999999997</v>
      </c>
      <c r="I944">
        <v>1</v>
      </c>
      <c r="J944" s="2">
        <v>34.049999999999997</v>
      </c>
    </row>
    <row r="945" spans="1:10" x14ac:dyDescent="0.25">
      <c r="A945" t="s">
        <v>1005</v>
      </c>
      <c r="B945" s="16">
        <v>45784</v>
      </c>
      <c r="C945" t="s">
        <v>30</v>
      </c>
      <c r="D945" t="s">
        <v>31</v>
      </c>
      <c r="E945" t="s">
        <v>27</v>
      </c>
      <c r="F945" t="s">
        <v>39</v>
      </c>
      <c r="G945" t="s">
        <v>15</v>
      </c>
      <c r="H945" s="2">
        <v>231.15</v>
      </c>
      <c r="I945">
        <v>2</v>
      </c>
      <c r="J945" s="2">
        <v>462.3</v>
      </c>
    </row>
    <row r="946" spans="1:10" x14ac:dyDescent="0.25">
      <c r="A946" t="s">
        <v>1006</v>
      </c>
      <c r="B946" s="16">
        <v>45924</v>
      </c>
      <c r="C946" t="s">
        <v>38</v>
      </c>
      <c r="D946" t="s">
        <v>31</v>
      </c>
      <c r="E946" t="s">
        <v>27</v>
      </c>
      <c r="F946" t="s">
        <v>32</v>
      </c>
      <c r="G946" t="s">
        <v>36</v>
      </c>
      <c r="H946" s="2">
        <v>55.91</v>
      </c>
      <c r="I946">
        <v>7</v>
      </c>
      <c r="J946" s="2">
        <v>391.37</v>
      </c>
    </row>
    <row r="947" spans="1:10" x14ac:dyDescent="0.25">
      <c r="A947" t="s">
        <v>1007</v>
      </c>
      <c r="B947" s="16">
        <v>45739</v>
      </c>
      <c r="C947" t="s">
        <v>17</v>
      </c>
      <c r="D947" t="s">
        <v>55</v>
      </c>
      <c r="E947" t="s">
        <v>18</v>
      </c>
      <c r="F947" t="s">
        <v>19</v>
      </c>
      <c r="G947" t="s">
        <v>36</v>
      </c>
      <c r="H947" s="2">
        <v>156.83000000000001</v>
      </c>
      <c r="I947">
        <v>2</v>
      </c>
      <c r="J947" s="2">
        <v>313.66000000000003</v>
      </c>
    </row>
    <row r="948" spans="1:10" x14ac:dyDescent="0.25">
      <c r="A948" t="s">
        <v>1008</v>
      </c>
      <c r="B948" s="16">
        <v>45904</v>
      </c>
      <c r="C948" t="s">
        <v>30</v>
      </c>
      <c r="D948" t="s">
        <v>35</v>
      </c>
      <c r="E948" t="s">
        <v>45</v>
      </c>
      <c r="F948" t="s">
        <v>39</v>
      </c>
      <c r="G948" t="s">
        <v>20</v>
      </c>
      <c r="H948" s="2">
        <v>90.29</v>
      </c>
      <c r="I948">
        <v>10</v>
      </c>
      <c r="J948" s="2">
        <v>902.9</v>
      </c>
    </row>
    <row r="949" spans="1:10" x14ac:dyDescent="0.25">
      <c r="A949" t="s">
        <v>1009</v>
      </c>
      <c r="B949" s="16">
        <v>45769</v>
      </c>
      <c r="C949" t="s">
        <v>30</v>
      </c>
      <c r="D949" t="s">
        <v>12</v>
      </c>
      <c r="E949" t="s">
        <v>41</v>
      </c>
      <c r="F949" t="s">
        <v>32</v>
      </c>
      <c r="G949" t="s">
        <v>15</v>
      </c>
      <c r="H949" s="2">
        <v>151.91999999999999</v>
      </c>
      <c r="I949">
        <v>4</v>
      </c>
      <c r="J949" s="2">
        <v>607.67999999999995</v>
      </c>
    </row>
    <row r="950" spans="1:10" x14ac:dyDescent="0.25">
      <c r="A950" t="s">
        <v>1010</v>
      </c>
      <c r="B950" s="16">
        <v>45743</v>
      </c>
      <c r="C950" t="s">
        <v>25</v>
      </c>
      <c r="D950" t="s">
        <v>22</v>
      </c>
      <c r="E950" t="s">
        <v>41</v>
      </c>
      <c r="F950" t="s">
        <v>39</v>
      </c>
      <c r="G950" t="s">
        <v>15</v>
      </c>
      <c r="H950" s="2">
        <v>173.31</v>
      </c>
      <c r="I950">
        <v>9</v>
      </c>
      <c r="J950" s="2">
        <v>1559.79</v>
      </c>
    </row>
    <row r="951" spans="1:10" x14ac:dyDescent="0.25">
      <c r="A951" t="s">
        <v>1011</v>
      </c>
      <c r="B951" s="16">
        <v>45662</v>
      </c>
      <c r="C951" t="s">
        <v>25</v>
      </c>
      <c r="D951" t="s">
        <v>12</v>
      </c>
      <c r="E951" t="s">
        <v>41</v>
      </c>
      <c r="F951" t="s">
        <v>28</v>
      </c>
      <c r="G951" t="s">
        <v>20</v>
      </c>
      <c r="H951" s="2">
        <v>212.54</v>
      </c>
      <c r="I951">
        <v>2</v>
      </c>
      <c r="J951" s="2">
        <v>425.08</v>
      </c>
    </row>
    <row r="952" spans="1:10" x14ac:dyDescent="0.25">
      <c r="A952" t="s">
        <v>1012</v>
      </c>
      <c r="B952" s="16">
        <v>45737</v>
      </c>
      <c r="C952" t="s">
        <v>11</v>
      </c>
      <c r="D952" t="s">
        <v>26</v>
      </c>
      <c r="E952" t="s">
        <v>23</v>
      </c>
      <c r="F952" t="s">
        <v>61</v>
      </c>
      <c r="G952" t="s">
        <v>15</v>
      </c>
      <c r="H952" s="2">
        <v>75.41</v>
      </c>
      <c r="I952">
        <v>12</v>
      </c>
      <c r="J952" s="2">
        <v>904.92</v>
      </c>
    </row>
    <row r="953" spans="1:10" x14ac:dyDescent="0.25">
      <c r="A953" t="s">
        <v>1013</v>
      </c>
      <c r="B953" s="16">
        <v>46009</v>
      </c>
      <c r="C953" t="s">
        <v>34</v>
      </c>
      <c r="D953" t="s">
        <v>12</v>
      </c>
      <c r="E953" t="s">
        <v>45</v>
      </c>
      <c r="F953" t="s">
        <v>19</v>
      </c>
      <c r="G953" t="s">
        <v>36</v>
      </c>
      <c r="H953" s="2">
        <v>32.42</v>
      </c>
      <c r="I953">
        <v>20</v>
      </c>
      <c r="J953" s="2">
        <v>648.4</v>
      </c>
    </row>
    <row r="954" spans="1:10" x14ac:dyDescent="0.25">
      <c r="A954" t="s">
        <v>1014</v>
      </c>
      <c r="B954" s="16">
        <v>45988</v>
      </c>
      <c r="C954" t="s">
        <v>17</v>
      </c>
      <c r="D954" t="s">
        <v>55</v>
      </c>
      <c r="E954" t="s">
        <v>45</v>
      </c>
      <c r="F954" t="s">
        <v>14</v>
      </c>
      <c r="G954" t="s">
        <v>36</v>
      </c>
      <c r="H954" s="2">
        <v>60.11</v>
      </c>
      <c r="I954">
        <v>5</v>
      </c>
      <c r="J954" s="2">
        <v>300.55</v>
      </c>
    </row>
    <row r="955" spans="1:10" x14ac:dyDescent="0.25">
      <c r="A955" t="s">
        <v>1015</v>
      </c>
      <c r="B955" s="16">
        <v>45777</v>
      </c>
      <c r="C955" t="s">
        <v>25</v>
      </c>
      <c r="D955" t="s">
        <v>12</v>
      </c>
      <c r="E955" t="s">
        <v>13</v>
      </c>
      <c r="F955" t="s">
        <v>39</v>
      </c>
      <c r="G955" t="s">
        <v>36</v>
      </c>
      <c r="H955" s="2">
        <v>228</v>
      </c>
      <c r="I955">
        <v>11</v>
      </c>
      <c r="J955" s="2">
        <v>2508</v>
      </c>
    </row>
    <row r="956" spans="1:10" x14ac:dyDescent="0.25">
      <c r="A956" t="s">
        <v>1016</v>
      </c>
      <c r="B956" s="16">
        <v>45756</v>
      </c>
      <c r="C956" t="s">
        <v>17</v>
      </c>
      <c r="D956" t="s">
        <v>31</v>
      </c>
      <c r="E956" t="s">
        <v>13</v>
      </c>
      <c r="F956" t="s">
        <v>28</v>
      </c>
      <c r="G956" t="s">
        <v>15</v>
      </c>
      <c r="H956" s="2">
        <v>222.26</v>
      </c>
      <c r="I956">
        <v>1</v>
      </c>
      <c r="J956" s="2">
        <v>222.26</v>
      </c>
    </row>
    <row r="957" spans="1:10" x14ac:dyDescent="0.25">
      <c r="A957" t="s">
        <v>1017</v>
      </c>
      <c r="B957" s="16">
        <v>45786</v>
      </c>
      <c r="C957" t="s">
        <v>38</v>
      </c>
      <c r="D957" t="s">
        <v>12</v>
      </c>
      <c r="E957" t="s">
        <v>41</v>
      </c>
      <c r="F957" t="s">
        <v>42</v>
      </c>
      <c r="G957" t="s">
        <v>36</v>
      </c>
      <c r="H957" s="2">
        <v>161.43</v>
      </c>
      <c r="I957">
        <v>2</v>
      </c>
      <c r="J957" s="2">
        <v>322.86</v>
      </c>
    </row>
    <row r="958" spans="1:10" x14ac:dyDescent="0.25">
      <c r="A958" t="s">
        <v>1018</v>
      </c>
      <c r="B958" s="16">
        <v>45935</v>
      </c>
      <c r="C958" t="s">
        <v>30</v>
      </c>
      <c r="D958" t="s">
        <v>55</v>
      </c>
      <c r="E958" t="s">
        <v>23</v>
      </c>
      <c r="F958" t="s">
        <v>42</v>
      </c>
      <c r="G958" t="s">
        <v>36</v>
      </c>
      <c r="H958" s="2">
        <v>162.11000000000001</v>
      </c>
      <c r="I958">
        <v>16</v>
      </c>
      <c r="J958" s="2">
        <v>2593.7600000000002</v>
      </c>
    </row>
    <row r="959" spans="1:10" x14ac:dyDescent="0.25">
      <c r="A959" t="s">
        <v>1019</v>
      </c>
      <c r="B959" s="16">
        <v>45823</v>
      </c>
      <c r="C959" t="s">
        <v>34</v>
      </c>
      <c r="D959" t="s">
        <v>55</v>
      </c>
      <c r="E959" t="s">
        <v>18</v>
      </c>
      <c r="F959" t="s">
        <v>14</v>
      </c>
      <c r="G959" t="s">
        <v>15</v>
      </c>
      <c r="H959" s="2">
        <v>176.31</v>
      </c>
      <c r="I959">
        <v>15</v>
      </c>
      <c r="J959" s="2">
        <v>2644.65</v>
      </c>
    </row>
    <row r="960" spans="1:10" x14ac:dyDescent="0.25">
      <c r="A960" t="s">
        <v>1020</v>
      </c>
      <c r="B960" s="16">
        <v>45929</v>
      </c>
      <c r="C960" t="s">
        <v>38</v>
      </c>
      <c r="D960" t="s">
        <v>35</v>
      </c>
      <c r="E960" t="s">
        <v>13</v>
      </c>
      <c r="F960" t="s">
        <v>42</v>
      </c>
      <c r="G960" t="s">
        <v>36</v>
      </c>
      <c r="H960" s="2">
        <v>68.58</v>
      </c>
      <c r="I960">
        <v>5</v>
      </c>
      <c r="J960" s="2">
        <v>342.9</v>
      </c>
    </row>
    <row r="961" spans="1:10" x14ac:dyDescent="0.25">
      <c r="A961" t="s">
        <v>1021</v>
      </c>
      <c r="B961" s="16">
        <v>45890</v>
      </c>
      <c r="C961" t="s">
        <v>17</v>
      </c>
      <c r="D961" t="s">
        <v>55</v>
      </c>
      <c r="E961" t="s">
        <v>41</v>
      </c>
      <c r="F961" t="s">
        <v>28</v>
      </c>
      <c r="G961" t="s">
        <v>15</v>
      </c>
      <c r="H961" s="2">
        <v>231.17</v>
      </c>
      <c r="I961">
        <v>1</v>
      </c>
      <c r="J961" s="2">
        <v>231.17</v>
      </c>
    </row>
    <row r="962" spans="1:10" x14ac:dyDescent="0.25">
      <c r="A962" t="s">
        <v>1022</v>
      </c>
      <c r="B962" s="16">
        <v>45667</v>
      </c>
      <c r="C962" t="s">
        <v>34</v>
      </c>
      <c r="D962" t="s">
        <v>55</v>
      </c>
      <c r="E962" t="s">
        <v>23</v>
      </c>
      <c r="F962" t="s">
        <v>32</v>
      </c>
      <c r="G962" t="s">
        <v>20</v>
      </c>
      <c r="H962" s="2">
        <v>122.13</v>
      </c>
      <c r="I962">
        <v>20</v>
      </c>
      <c r="J962" s="2">
        <v>2442.6</v>
      </c>
    </row>
    <row r="963" spans="1:10" x14ac:dyDescent="0.25">
      <c r="A963" t="s">
        <v>1023</v>
      </c>
      <c r="B963" s="16">
        <v>45690</v>
      </c>
      <c r="C963" t="s">
        <v>38</v>
      </c>
      <c r="D963" t="s">
        <v>26</v>
      </c>
      <c r="E963" t="s">
        <v>18</v>
      </c>
      <c r="F963" t="s">
        <v>28</v>
      </c>
      <c r="G963" t="s">
        <v>36</v>
      </c>
      <c r="H963" s="2">
        <v>114.29</v>
      </c>
      <c r="I963">
        <v>18</v>
      </c>
      <c r="J963" s="2">
        <v>2057.2199999999998</v>
      </c>
    </row>
    <row r="964" spans="1:10" x14ac:dyDescent="0.25">
      <c r="A964" t="s">
        <v>1024</v>
      </c>
      <c r="B964" s="16">
        <v>45940</v>
      </c>
      <c r="C964" t="s">
        <v>25</v>
      </c>
      <c r="D964" t="s">
        <v>35</v>
      </c>
      <c r="E964" t="s">
        <v>13</v>
      </c>
      <c r="F964" t="s">
        <v>61</v>
      </c>
      <c r="G964" t="s">
        <v>20</v>
      </c>
      <c r="H964" s="2">
        <v>144.16</v>
      </c>
      <c r="I964">
        <v>5</v>
      </c>
      <c r="J964" s="2">
        <v>720.8</v>
      </c>
    </row>
    <row r="965" spans="1:10" x14ac:dyDescent="0.25">
      <c r="A965" t="s">
        <v>1025</v>
      </c>
      <c r="B965" s="16">
        <v>45822</v>
      </c>
      <c r="C965" t="s">
        <v>11</v>
      </c>
      <c r="D965" t="s">
        <v>55</v>
      </c>
      <c r="E965" t="s">
        <v>27</v>
      </c>
      <c r="F965" t="s">
        <v>19</v>
      </c>
      <c r="G965" t="s">
        <v>15</v>
      </c>
      <c r="H965" s="2">
        <v>40.33</v>
      </c>
      <c r="I965">
        <v>4</v>
      </c>
      <c r="J965" s="2">
        <v>161.32</v>
      </c>
    </row>
    <row r="966" spans="1:10" x14ac:dyDescent="0.25">
      <c r="A966" t="s">
        <v>1026</v>
      </c>
      <c r="B966" s="16">
        <v>45724</v>
      </c>
      <c r="C966" t="s">
        <v>11</v>
      </c>
      <c r="D966" t="s">
        <v>26</v>
      </c>
      <c r="E966" t="s">
        <v>45</v>
      </c>
      <c r="F966" t="s">
        <v>61</v>
      </c>
      <c r="G966" t="s">
        <v>15</v>
      </c>
      <c r="H966" s="2">
        <v>66.58</v>
      </c>
      <c r="I966">
        <v>6</v>
      </c>
      <c r="J966" s="2">
        <v>399.48</v>
      </c>
    </row>
    <row r="967" spans="1:10" x14ac:dyDescent="0.25">
      <c r="A967" t="s">
        <v>1027</v>
      </c>
      <c r="B967" s="16">
        <v>45708</v>
      </c>
      <c r="C967" t="s">
        <v>25</v>
      </c>
      <c r="D967" t="s">
        <v>12</v>
      </c>
      <c r="E967" t="s">
        <v>41</v>
      </c>
      <c r="F967" t="s">
        <v>28</v>
      </c>
      <c r="G967" t="s">
        <v>36</v>
      </c>
      <c r="H967" s="2">
        <v>192.37</v>
      </c>
      <c r="I967">
        <v>2</v>
      </c>
      <c r="J967" s="2">
        <v>384.74</v>
      </c>
    </row>
    <row r="968" spans="1:10" x14ac:dyDescent="0.25">
      <c r="A968" t="s">
        <v>1028</v>
      </c>
      <c r="B968" s="16">
        <v>45927</v>
      </c>
      <c r="C968" t="s">
        <v>17</v>
      </c>
      <c r="D968" t="s">
        <v>55</v>
      </c>
      <c r="E968" t="s">
        <v>13</v>
      </c>
      <c r="F968" t="s">
        <v>19</v>
      </c>
      <c r="G968" t="s">
        <v>36</v>
      </c>
      <c r="H968" s="2">
        <v>48.22</v>
      </c>
      <c r="I968">
        <v>20</v>
      </c>
      <c r="J968" s="2">
        <v>964.4</v>
      </c>
    </row>
    <row r="969" spans="1:10" x14ac:dyDescent="0.25">
      <c r="A969" t="s">
        <v>1029</v>
      </c>
      <c r="B969" s="16">
        <v>45771</v>
      </c>
      <c r="C969" t="s">
        <v>17</v>
      </c>
      <c r="D969" t="s">
        <v>22</v>
      </c>
      <c r="E969" t="s">
        <v>45</v>
      </c>
      <c r="F969" t="s">
        <v>14</v>
      </c>
      <c r="G969" t="s">
        <v>20</v>
      </c>
      <c r="H969" s="2">
        <v>162.69</v>
      </c>
      <c r="I969">
        <v>20</v>
      </c>
      <c r="J969" s="2">
        <v>3253.8</v>
      </c>
    </row>
    <row r="970" spans="1:10" x14ac:dyDescent="0.25">
      <c r="A970" t="s">
        <v>1030</v>
      </c>
      <c r="B970" s="16">
        <v>45909</v>
      </c>
      <c r="C970" t="s">
        <v>38</v>
      </c>
      <c r="D970" t="s">
        <v>12</v>
      </c>
      <c r="E970" t="s">
        <v>45</v>
      </c>
      <c r="F970" t="s">
        <v>32</v>
      </c>
      <c r="G970" t="s">
        <v>20</v>
      </c>
      <c r="H970" s="2">
        <v>83.98</v>
      </c>
      <c r="I970">
        <v>3</v>
      </c>
      <c r="J970" s="2">
        <v>251.94</v>
      </c>
    </row>
    <row r="971" spans="1:10" x14ac:dyDescent="0.25">
      <c r="A971" t="s">
        <v>1031</v>
      </c>
      <c r="B971" s="16">
        <v>45870</v>
      </c>
      <c r="C971" t="s">
        <v>17</v>
      </c>
      <c r="D971" t="s">
        <v>22</v>
      </c>
      <c r="E971" t="s">
        <v>18</v>
      </c>
      <c r="F971" t="s">
        <v>32</v>
      </c>
      <c r="G971" t="s">
        <v>20</v>
      </c>
      <c r="H971" s="2">
        <v>115.65</v>
      </c>
      <c r="I971">
        <v>12</v>
      </c>
      <c r="J971" s="2">
        <v>1387.8</v>
      </c>
    </row>
    <row r="972" spans="1:10" x14ac:dyDescent="0.25">
      <c r="A972" t="s">
        <v>1032</v>
      </c>
      <c r="B972" s="16">
        <v>45678</v>
      </c>
      <c r="C972" t="s">
        <v>34</v>
      </c>
      <c r="D972" t="s">
        <v>22</v>
      </c>
      <c r="E972" t="s">
        <v>23</v>
      </c>
      <c r="F972" t="s">
        <v>42</v>
      </c>
      <c r="G972" t="s">
        <v>15</v>
      </c>
      <c r="H972" s="2">
        <v>93.51</v>
      </c>
      <c r="I972">
        <v>3</v>
      </c>
      <c r="J972" s="2">
        <v>280.52999999999997</v>
      </c>
    </row>
    <row r="973" spans="1:10" x14ac:dyDescent="0.25">
      <c r="A973" t="s">
        <v>1033</v>
      </c>
      <c r="B973" s="16">
        <v>45709</v>
      </c>
      <c r="C973" t="s">
        <v>25</v>
      </c>
      <c r="D973" t="s">
        <v>31</v>
      </c>
      <c r="E973" t="s">
        <v>23</v>
      </c>
      <c r="F973" t="s">
        <v>14</v>
      </c>
      <c r="G973" t="s">
        <v>20</v>
      </c>
      <c r="H973" s="2">
        <v>108.25</v>
      </c>
      <c r="I973">
        <v>8</v>
      </c>
      <c r="J973" s="2">
        <v>866</v>
      </c>
    </row>
    <row r="974" spans="1:10" x14ac:dyDescent="0.25">
      <c r="A974" t="s">
        <v>1034</v>
      </c>
      <c r="B974" s="16">
        <v>45994</v>
      </c>
      <c r="C974" t="s">
        <v>25</v>
      </c>
      <c r="D974" t="s">
        <v>12</v>
      </c>
      <c r="E974" t="s">
        <v>23</v>
      </c>
      <c r="F974" t="s">
        <v>42</v>
      </c>
      <c r="G974" t="s">
        <v>20</v>
      </c>
      <c r="H974" s="2">
        <v>188.19</v>
      </c>
      <c r="I974">
        <v>8</v>
      </c>
      <c r="J974" s="2">
        <v>1505.52</v>
      </c>
    </row>
    <row r="975" spans="1:10" x14ac:dyDescent="0.25">
      <c r="A975" t="s">
        <v>1035</v>
      </c>
      <c r="B975" s="16">
        <v>45943</v>
      </c>
      <c r="C975" t="s">
        <v>17</v>
      </c>
      <c r="D975" t="s">
        <v>22</v>
      </c>
      <c r="E975" t="s">
        <v>27</v>
      </c>
      <c r="F975" t="s">
        <v>42</v>
      </c>
      <c r="G975" t="s">
        <v>36</v>
      </c>
      <c r="H975" s="2">
        <v>95.37</v>
      </c>
      <c r="I975">
        <v>14</v>
      </c>
      <c r="J975" s="2">
        <v>1335.18</v>
      </c>
    </row>
    <row r="976" spans="1:10" x14ac:dyDescent="0.25">
      <c r="A976" t="s">
        <v>1036</v>
      </c>
      <c r="B976" s="16">
        <v>46003</v>
      </c>
      <c r="C976" t="s">
        <v>17</v>
      </c>
      <c r="D976" t="s">
        <v>12</v>
      </c>
      <c r="E976" t="s">
        <v>41</v>
      </c>
      <c r="F976" t="s">
        <v>19</v>
      </c>
      <c r="G976" t="s">
        <v>15</v>
      </c>
      <c r="H976" s="2">
        <v>154.61000000000001</v>
      </c>
      <c r="I976">
        <v>15</v>
      </c>
      <c r="J976" s="2">
        <v>2319.15</v>
      </c>
    </row>
    <row r="977" spans="1:10" x14ac:dyDescent="0.25">
      <c r="A977" t="s">
        <v>1037</v>
      </c>
      <c r="B977" s="16">
        <v>45750</v>
      </c>
      <c r="C977" t="s">
        <v>38</v>
      </c>
      <c r="D977" t="s">
        <v>55</v>
      </c>
      <c r="E977" t="s">
        <v>13</v>
      </c>
      <c r="F977" t="s">
        <v>28</v>
      </c>
      <c r="G977" t="s">
        <v>15</v>
      </c>
      <c r="H977" s="2">
        <v>134.72999999999999</v>
      </c>
      <c r="I977">
        <v>18</v>
      </c>
      <c r="J977" s="2">
        <v>2425.14</v>
      </c>
    </row>
    <row r="978" spans="1:10" x14ac:dyDescent="0.25">
      <c r="A978" t="s">
        <v>1038</v>
      </c>
      <c r="B978" s="16">
        <v>45931</v>
      </c>
      <c r="C978" t="s">
        <v>38</v>
      </c>
      <c r="D978" t="s">
        <v>35</v>
      </c>
      <c r="E978" t="s">
        <v>13</v>
      </c>
      <c r="F978" t="s">
        <v>42</v>
      </c>
      <c r="G978" t="s">
        <v>36</v>
      </c>
      <c r="H978" s="2">
        <v>176.01</v>
      </c>
      <c r="I978">
        <v>20</v>
      </c>
      <c r="J978" s="2">
        <v>3520.2</v>
      </c>
    </row>
    <row r="979" spans="1:10" x14ac:dyDescent="0.25">
      <c r="A979" t="s">
        <v>1039</v>
      </c>
      <c r="B979" s="16">
        <v>45848</v>
      </c>
      <c r="C979" t="s">
        <v>17</v>
      </c>
      <c r="D979" t="s">
        <v>31</v>
      </c>
      <c r="E979" t="s">
        <v>27</v>
      </c>
      <c r="F979" t="s">
        <v>32</v>
      </c>
      <c r="G979" t="s">
        <v>20</v>
      </c>
      <c r="H979" s="2">
        <v>236.1</v>
      </c>
      <c r="I979">
        <v>14</v>
      </c>
      <c r="J979" s="2">
        <v>3305.4</v>
      </c>
    </row>
    <row r="980" spans="1:10" x14ac:dyDescent="0.25">
      <c r="A980" t="s">
        <v>1040</v>
      </c>
      <c r="B980" s="16">
        <v>45781</v>
      </c>
      <c r="C980" t="s">
        <v>25</v>
      </c>
      <c r="D980" t="s">
        <v>26</v>
      </c>
      <c r="E980" t="s">
        <v>41</v>
      </c>
      <c r="F980" t="s">
        <v>39</v>
      </c>
      <c r="G980" t="s">
        <v>20</v>
      </c>
      <c r="H980" s="2">
        <v>191.17</v>
      </c>
      <c r="I980">
        <v>19</v>
      </c>
      <c r="J980" s="2">
        <v>3632.23</v>
      </c>
    </row>
    <row r="981" spans="1:10" x14ac:dyDescent="0.25">
      <c r="A981" t="s">
        <v>1041</v>
      </c>
      <c r="B981" s="16">
        <v>45788</v>
      </c>
      <c r="C981" t="s">
        <v>38</v>
      </c>
      <c r="D981" t="s">
        <v>31</v>
      </c>
      <c r="E981" t="s">
        <v>41</v>
      </c>
      <c r="F981" t="s">
        <v>19</v>
      </c>
      <c r="G981" t="s">
        <v>20</v>
      </c>
      <c r="H981" s="2">
        <v>77.290000000000006</v>
      </c>
      <c r="I981">
        <v>12</v>
      </c>
      <c r="J981" s="2">
        <v>927.48</v>
      </c>
    </row>
    <row r="982" spans="1:10" x14ac:dyDescent="0.25">
      <c r="A982" t="s">
        <v>1042</v>
      </c>
      <c r="B982" s="16">
        <v>45675</v>
      </c>
      <c r="C982" t="s">
        <v>25</v>
      </c>
      <c r="D982" t="s">
        <v>22</v>
      </c>
      <c r="E982" t="s">
        <v>18</v>
      </c>
      <c r="F982" t="s">
        <v>14</v>
      </c>
      <c r="G982" t="s">
        <v>36</v>
      </c>
      <c r="H982" s="2">
        <v>36.86</v>
      </c>
      <c r="I982">
        <v>10</v>
      </c>
      <c r="J982" s="2">
        <v>368.6</v>
      </c>
    </row>
    <row r="983" spans="1:10" x14ac:dyDescent="0.25">
      <c r="A983" t="s">
        <v>1043</v>
      </c>
      <c r="B983" s="16">
        <v>45661</v>
      </c>
      <c r="C983" t="s">
        <v>30</v>
      </c>
      <c r="D983" t="s">
        <v>26</v>
      </c>
      <c r="E983" t="s">
        <v>13</v>
      </c>
      <c r="F983" t="s">
        <v>19</v>
      </c>
      <c r="G983" t="s">
        <v>20</v>
      </c>
      <c r="H983" s="2">
        <v>87.7</v>
      </c>
      <c r="I983">
        <v>10</v>
      </c>
      <c r="J983" s="2">
        <v>877</v>
      </c>
    </row>
    <row r="984" spans="1:10" x14ac:dyDescent="0.25">
      <c r="A984" t="s">
        <v>1044</v>
      </c>
      <c r="B984" s="16">
        <v>45799</v>
      </c>
      <c r="C984" t="s">
        <v>25</v>
      </c>
      <c r="D984" t="s">
        <v>55</v>
      </c>
      <c r="E984" t="s">
        <v>18</v>
      </c>
      <c r="F984" t="s">
        <v>42</v>
      </c>
      <c r="G984" t="s">
        <v>15</v>
      </c>
      <c r="H984" s="2">
        <v>160.91999999999999</v>
      </c>
      <c r="I984">
        <v>18</v>
      </c>
      <c r="J984" s="2">
        <v>2896.56</v>
      </c>
    </row>
    <row r="985" spans="1:10" x14ac:dyDescent="0.25">
      <c r="A985" t="s">
        <v>1045</v>
      </c>
      <c r="B985" s="16">
        <v>45706</v>
      </c>
      <c r="C985" t="s">
        <v>38</v>
      </c>
      <c r="D985" t="s">
        <v>35</v>
      </c>
      <c r="E985" t="s">
        <v>23</v>
      </c>
      <c r="F985" t="s">
        <v>14</v>
      </c>
      <c r="G985" t="s">
        <v>36</v>
      </c>
      <c r="H985" s="2">
        <v>41.31</v>
      </c>
      <c r="I985">
        <v>2</v>
      </c>
      <c r="J985" s="2">
        <v>82.62</v>
      </c>
    </row>
    <row r="986" spans="1:10" x14ac:dyDescent="0.25">
      <c r="A986" t="s">
        <v>1046</v>
      </c>
      <c r="B986" s="16">
        <v>45845</v>
      </c>
      <c r="C986" t="s">
        <v>30</v>
      </c>
      <c r="D986" t="s">
        <v>26</v>
      </c>
      <c r="E986" t="s">
        <v>13</v>
      </c>
      <c r="F986" t="s">
        <v>39</v>
      </c>
      <c r="G986" t="s">
        <v>36</v>
      </c>
      <c r="H986" s="2">
        <v>139.19999999999999</v>
      </c>
      <c r="I986">
        <v>19</v>
      </c>
      <c r="J986" s="2">
        <v>2644.8</v>
      </c>
    </row>
    <row r="987" spans="1:10" x14ac:dyDescent="0.25">
      <c r="A987" t="s">
        <v>1047</v>
      </c>
      <c r="B987" s="16">
        <v>45705</v>
      </c>
      <c r="C987" t="s">
        <v>38</v>
      </c>
      <c r="D987" t="s">
        <v>55</v>
      </c>
      <c r="E987" t="s">
        <v>23</v>
      </c>
      <c r="F987" t="s">
        <v>28</v>
      </c>
      <c r="G987" t="s">
        <v>15</v>
      </c>
      <c r="H987" s="2">
        <v>161.31</v>
      </c>
      <c r="I987">
        <v>19</v>
      </c>
      <c r="J987" s="2">
        <v>3064.89</v>
      </c>
    </row>
    <row r="988" spans="1:10" x14ac:dyDescent="0.25">
      <c r="A988" t="s">
        <v>1048</v>
      </c>
      <c r="B988" s="16">
        <v>45824</v>
      </c>
      <c r="C988" t="s">
        <v>30</v>
      </c>
      <c r="D988" t="s">
        <v>31</v>
      </c>
      <c r="E988" t="s">
        <v>27</v>
      </c>
      <c r="F988" t="s">
        <v>28</v>
      </c>
      <c r="G988" t="s">
        <v>20</v>
      </c>
      <c r="H988" s="2">
        <v>103.53</v>
      </c>
      <c r="I988">
        <v>16</v>
      </c>
      <c r="J988" s="2">
        <v>1656.48</v>
      </c>
    </row>
    <row r="989" spans="1:10" x14ac:dyDescent="0.25">
      <c r="A989" t="s">
        <v>1049</v>
      </c>
      <c r="B989" s="16">
        <v>45706</v>
      </c>
      <c r="C989" t="s">
        <v>17</v>
      </c>
      <c r="D989" t="s">
        <v>35</v>
      </c>
      <c r="E989" t="s">
        <v>45</v>
      </c>
      <c r="F989" t="s">
        <v>28</v>
      </c>
      <c r="G989" t="s">
        <v>20</v>
      </c>
      <c r="H989" s="2">
        <v>199.6</v>
      </c>
      <c r="I989">
        <v>20</v>
      </c>
      <c r="J989" s="2">
        <v>3992</v>
      </c>
    </row>
    <row r="990" spans="1:10" x14ac:dyDescent="0.25">
      <c r="A990" t="s">
        <v>1050</v>
      </c>
      <c r="B990" s="16">
        <v>45853</v>
      </c>
      <c r="C990" t="s">
        <v>11</v>
      </c>
      <c r="D990" t="s">
        <v>35</v>
      </c>
      <c r="E990" t="s">
        <v>13</v>
      </c>
      <c r="F990" t="s">
        <v>39</v>
      </c>
      <c r="G990" t="s">
        <v>36</v>
      </c>
      <c r="H990" s="2">
        <v>53.45</v>
      </c>
      <c r="I990">
        <v>3</v>
      </c>
      <c r="J990" s="2">
        <v>160.35</v>
      </c>
    </row>
    <row r="991" spans="1:10" x14ac:dyDescent="0.25">
      <c r="A991" t="s">
        <v>1051</v>
      </c>
      <c r="B991" s="16">
        <v>45871</v>
      </c>
      <c r="C991" t="s">
        <v>30</v>
      </c>
      <c r="D991" t="s">
        <v>12</v>
      </c>
      <c r="E991" t="s">
        <v>27</v>
      </c>
      <c r="F991" t="s">
        <v>39</v>
      </c>
      <c r="G991" t="s">
        <v>20</v>
      </c>
      <c r="H991" s="2">
        <v>46.53</v>
      </c>
      <c r="I991">
        <v>4</v>
      </c>
      <c r="J991" s="2">
        <v>186.12</v>
      </c>
    </row>
    <row r="992" spans="1:10" x14ac:dyDescent="0.25">
      <c r="A992" t="s">
        <v>1052</v>
      </c>
      <c r="B992" s="16">
        <v>45663</v>
      </c>
      <c r="C992" t="s">
        <v>11</v>
      </c>
      <c r="D992" t="s">
        <v>35</v>
      </c>
      <c r="E992" t="s">
        <v>18</v>
      </c>
      <c r="F992" t="s">
        <v>19</v>
      </c>
      <c r="G992" t="s">
        <v>36</v>
      </c>
      <c r="H992" s="2">
        <v>190.2</v>
      </c>
      <c r="I992">
        <v>13</v>
      </c>
      <c r="J992" s="2">
        <v>2472.6</v>
      </c>
    </row>
    <row r="993" spans="1:10" x14ac:dyDescent="0.25">
      <c r="A993" t="s">
        <v>1053</v>
      </c>
      <c r="B993" s="16">
        <v>45934</v>
      </c>
      <c r="C993" t="s">
        <v>30</v>
      </c>
      <c r="D993" t="s">
        <v>35</v>
      </c>
      <c r="E993" t="s">
        <v>18</v>
      </c>
      <c r="F993" t="s">
        <v>28</v>
      </c>
      <c r="G993" t="s">
        <v>15</v>
      </c>
      <c r="H993" s="2">
        <v>139.01</v>
      </c>
      <c r="I993">
        <v>19</v>
      </c>
      <c r="J993" s="2">
        <v>2641.19</v>
      </c>
    </row>
    <row r="994" spans="1:10" x14ac:dyDescent="0.25">
      <c r="A994" t="s">
        <v>1054</v>
      </c>
      <c r="B994" s="16">
        <v>45736</v>
      </c>
      <c r="C994" t="s">
        <v>17</v>
      </c>
      <c r="D994" t="s">
        <v>12</v>
      </c>
      <c r="E994" t="s">
        <v>41</v>
      </c>
      <c r="F994" t="s">
        <v>61</v>
      </c>
      <c r="G994" t="s">
        <v>20</v>
      </c>
      <c r="H994" s="2">
        <v>181.45</v>
      </c>
      <c r="I994">
        <v>2</v>
      </c>
      <c r="J994" s="2">
        <v>362.9</v>
      </c>
    </row>
    <row r="995" spans="1:10" x14ac:dyDescent="0.25">
      <c r="A995" t="s">
        <v>1055</v>
      </c>
      <c r="B995" s="16">
        <v>45952</v>
      </c>
      <c r="C995" t="s">
        <v>11</v>
      </c>
      <c r="D995" t="s">
        <v>26</v>
      </c>
      <c r="E995" t="s">
        <v>41</v>
      </c>
      <c r="F995" t="s">
        <v>32</v>
      </c>
      <c r="G995" t="s">
        <v>36</v>
      </c>
      <c r="H995" s="2">
        <v>125.66</v>
      </c>
      <c r="I995">
        <v>17</v>
      </c>
      <c r="J995" s="2">
        <v>2136.2199999999998</v>
      </c>
    </row>
    <row r="996" spans="1:10" x14ac:dyDescent="0.25">
      <c r="A996" t="s">
        <v>1056</v>
      </c>
      <c r="B996" s="16">
        <v>45733</v>
      </c>
      <c r="C996" t="s">
        <v>34</v>
      </c>
      <c r="D996" t="s">
        <v>22</v>
      </c>
      <c r="E996" t="s">
        <v>41</v>
      </c>
      <c r="F996" t="s">
        <v>42</v>
      </c>
      <c r="G996" t="s">
        <v>20</v>
      </c>
      <c r="H996" s="2">
        <v>84.21</v>
      </c>
      <c r="I996">
        <v>5</v>
      </c>
      <c r="J996" s="2">
        <v>421.05</v>
      </c>
    </row>
    <row r="997" spans="1:10" x14ac:dyDescent="0.25">
      <c r="A997" t="s">
        <v>1057</v>
      </c>
      <c r="B997" s="16">
        <v>45683</v>
      </c>
      <c r="C997" t="s">
        <v>38</v>
      </c>
      <c r="D997" t="s">
        <v>35</v>
      </c>
      <c r="E997" t="s">
        <v>45</v>
      </c>
      <c r="F997" t="s">
        <v>61</v>
      </c>
      <c r="G997" t="s">
        <v>20</v>
      </c>
      <c r="H997" s="2">
        <v>210.2</v>
      </c>
      <c r="I997">
        <v>18</v>
      </c>
      <c r="J997" s="2">
        <v>3783.6</v>
      </c>
    </row>
    <row r="998" spans="1:10" x14ac:dyDescent="0.25">
      <c r="A998" t="s">
        <v>1058</v>
      </c>
      <c r="B998" s="16">
        <v>45880</v>
      </c>
      <c r="C998" t="s">
        <v>30</v>
      </c>
      <c r="D998" t="s">
        <v>31</v>
      </c>
      <c r="E998" t="s">
        <v>18</v>
      </c>
      <c r="F998" t="s">
        <v>14</v>
      </c>
      <c r="G998" t="s">
        <v>36</v>
      </c>
      <c r="H998" s="2">
        <v>205.87</v>
      </c>
      <c r="I998">
        <v>5</v>
      </c>
      <c r="J998" s="2">
        <v>1029.3499999999999</v>
      </c>
    </row>
    <row r="999" spans="1:10" x14ac:dyDescent="0.25">
      <c r="A999" t="s">
        <v>1059</v>
      </c>
      <c r="B999" s="16">
        <v>45860</v>
      </c>
      <c r="C999" t="s">
        <v>30</v>
      </c>
      <c r="D999" t="s">
        <v>55</v>
      </c>
      <c r="E999" t="s">
        <v>18</v>
      </c>
      <c r="F999" t="s">
        <v>28</v>
      </c>
      <c r="G999" t="s">
        <v>20</v>
      </c>
      <c r="H999" s="2">
        <v>182.83</v>
      </c>
      <c r="I999">
        <v>19</v>
      </c>
      <c r="J999" s="2">
        <v>3473.77</v>
      </c>
    </row>
    <row r="1000" spans="1:10" x14ac:dyDescent="0.25">
      <c r="A1000" t="s">
        <v>1060</v>
      </c>
      <c r="B1000" s="16">
        <v>45784</v>
      </c>
      <c r="C1000" t="s">
        <v>11</v>
      </c>
      <c r="D1000" t="s">
        <v>35</v>
      </c>
      <c r="E1000" t="s">
        <v>41</v>
      </c>
      <c r="F1000" t="s">
        <v>32</v>
      </c>
      <c r="G1000" t="s">
        <v>20</v>
      </c>
      <c r="H1000" s="2">
        <v>89.87</v>
      </c>
      <c r="I1000">
        <v>8</v>
      </c>
      <c r="J1000" s="2">
        <v>718.96</v>
      </c>
    </row>
    <row r="1001" spans="1:10" x14ac:dyDescent="0.25">
      <c r="A1001" t="s">
        <v>1061</v>
      </c>
      <c r="B1001" s="16">
        <v>45952</v>
      </c>
      <c r="C1001" t="s">
        <v>11</v>
      </c>
      <c r="D1001" t="s">
        <v>12</v>
      </c>
      <c r="E1001" t="s">
        <v>41</v>
      </c>
      <c r="F1001" t="s">
        <v>61</v>
      </c>
      <c r="G1001" t="s">
        <v>36</v>
      </c>
      <c r="H1001" s="2">
        <v>159.85</v>
      </c>
      <c r="I1001">
        <v>3</v>
      </c>
      <c r="J1001" s="2">
        <v>479.55</v>
      </c>
    </row>
    <row r="1002" spans="1:10" x14ac:dyDescent="0.25">
      <c r="A1002" t="s">
        <v>1062</v>
      </c>
      <c r="B1002" s="16">
        <v>45836</v>
      </c>
      <c r="C1002" t="s">
        <v>34</v>
      </c>
      <c r="D1002" t="s">
        <v>35</v>
      </c>
      <c r="E1002" t="s">
        <v>18</v>
      </c>
      <c r="F1002" t="s">
        <v>28</v>
      </c>
      <c r="G1002" t="s">
        <v>15</v>
      </c>
      <c r="H1002" s="2">
        <v>109.41</v>
      </c>
      <c r="I1002">
        <v>7</v>
      </c>
      <c r="J1002" s="2">
        <v>765.87</v>
      </c>
    </row>
    <row r="1003" spans="1:10" x14ac:dyDescent="0.25">
      <c r="A1003" t="s">
        <v>1063</v>
      </c>
      <c r="B1003" s="16">
        <v>45814</v>
      </c>
      <c r="C1003" t="s">
        <v>34</v>
      </c>
      <c r="D1003" t="s">
        <v>55</v>
      </c>
      <c r="E1003" t="s">
        <v>41</v>
      </c>
      <c r="F1003" t="s">
        <v>42</v>
      </c>
      <c r="G1003" t="s">
        <v>15</v>
      </c>
      <c r="H1003" s="2">
        <v>50.15</v>
      </c>
      <c r="I1003">
        <v>6</v>
      </c>
      <c r="J1003" s="2">
        <v>300.89999999999998</v>
      </c>
    </row>
    <row r="1004" spans="1:10" x14ac:dyDescent="0.25">
      <c r="A1004" t="s">
        <v>1064</v>
      </c>
      <c r="B1004" s="16">
        <v>45883</v>
      </c>
      <c r="C1004" t="s">
        <v>30</v>
      </c>
      <c r="D1004" t="s">
        <v>26</v>
      </c>
      <c r="E1004" t="s">
        <v>27</v>
      </c>
      <c r="F1004" t="s">
        <v>32</v>
      </c>
      <c r="G1004" t="s">
        <v>15</v>
      </c>
      <c r="H1004" s="2">
        <v>231.81</v>
      </c>
      <c r="I1004">
        <v>2</v>
      </c>
      <c r="J1004" s="2">
        <v>463.62</v>
      </c>
    </row>
    <row r="1005" spans="1:10" x14ac:dyDescent="0.25">
      <c r="A1005" t="s">
        <v>1065</v>
      </c>
      <c r="B1005" s="16">
        <v>45701</v>
      </c>
      <c r="C1005" t="s">
        <v>17</v>
      </c>
      <c r="D1005" t="s">
        <v>22</v>
      </c>
      <c r="E1005" t="s">
        <v>23</v>
      </c>
      <c r="F1005" t="s">
        <v>42</v>
      </c>
      <c r="G1005" t="s">
        <v>15</v>
      </c>
      <c r="H1005" s="2">
        <v>60.1</v>
      </c>
      <c r="I1005">
        <v>4</v>
      </c>
      <c r="J1005" s="2">
        <v>240.4</v>
      </c>
    </row>
    <row r="1006" spans="1:10" x14ac:dyDescent="0.25">
      <c r="A1006" t="s">
        <v>1066</v>
      </c>
      <c r="B1006" s="16">
        <v>45805</v>
      </c>
      <c r="C1006" t="s">
        <v>34</v>
      </c>
      <c r="D1006" t="s">
        <v>12</v>
      </c>
      <c r="E1006" t="s">
        <v>45</v>
      </c>
      <c r="F1006" t="s">
        <v>32</v>
      </c>
      <c r="G1006" t="s">
        <v>36</v>
      </c>
      <c r="H1006" s="2">
        <v>239.05</v>
      </c>
      <c r="I1006">
        <v>1</v>
      </c>
      <c r="J1006" s="2">
        <v>239.05</v>
      </c>
    </row>
    <row r="1007" spans="1:10" x14ac:dyDescent="0.25">
      <c r="A1007" t="s">
        <v>1067</v>
      </c>
      <c r="B1007" s="16">
        <v>45899</v>
      </c>
      <c r="C1007" t="s">
        <v>34</v>
      </c>
      <c r="D1007" t="s">
        <v>26</v>
      </c>
      <c r="E1007" t="s">
        <v>27</v>
      </c>
      <c r="F1007" t="s">
        <v>42</v>
      </c>
      <c r="G1007" t="s">
        <v>15</v>
      </c>
      <c r="H1007" s="2">
        <v>128.12</v>
      </c>
      <c r="I1007">
        <v>1</v>
      </c>
      <c r="J1007" s="2">
        <v>128.12</v>
      </c>
    </row>
  </sheetData>
  <mergeCells count="1">
    <mergeCell ref="P3:P12"/>
  </mergeCells>
  <pageMargins left="0.7" right="0.7" top="0.75" bottom="0.75" header="0.3" footer="0.3"/>
  <pageSetup paperSize="9" orientation="portrait" r:id="rId1"/>
  <ignoredErrors>
    <ignoredError sqref="O4" formula="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499984740745262"/>
    <pageSetUpPr autoPageBreaks="0" fitToPage="1"/>
  </sheetPr>
  <dimension ref="A1:X75"/>
  <sheetViews>
    <sheetView tabSelected="1" view="pageBreakPreview" zoomScale="40" zoomScaleNormal="40" zoomScaleSheetLayoutView="40" zoomScalePageLayoutView="50" workbookViewId="0">
      <selection activeCell="Z22" sqref="Z22"/>
    </sheetView>
  </sheetViews>
  <sheetFormatPr defaultRowHeight="15" x14ac:dyDescent="0.25"/>
  <cols>
    <col min="1" max="2" width="3.140625" style="20" customWidth="1"/>
    <col min="3" max="3" width="19.5703125" style="20" customWidth="1"/>
    <col min="4" max="5" width="14.28515625" style="20" customWidth="1"/>
    <col min="6" max="8" width="14.28515625" style="12" customWidth="1"/>
    <col min="9" max="9" width="14" style="12" customWidth="1"/>
    <col min="10" max="10" width="2.85546875" style="12" customWidth="1"/>
    <col min="11" max="11" width="14" style="12" customWidth="1"/>
    <col min="12" max="12" width="3.140625" style="12" customWidth="1"/>
    <col min="13" max="13" width="52.7109375" style="20" customWidth="1"/>
    <col min="14" max="14" width="26.140625" style="12" customWidth="1"/>
    <col min="15" max="15" width="5.28515625" style="12" customWidth="1"/>
    <col min="16" max="16" width="26.140625" style="12" customWidth="1"/>
    <col min="17" max="17" width="5.28515625" style="20" customWidth="1"/>
    <col min="18" max="18" width="26.140625" style="12" customWidth="1"/>
    <col min="19" max="19" width="5.28515625" style="13" customWidth="1"/>
    <col min="20" max="20" width="26.140625" style="13" customWidth="1"/>
    <col min="21" max="21" width="5.28515625" style="13" customWidth="1"/>
    <col min="22" max="22" width="26.140625" style="13" customWidth="1"/>
    <col min="23" max="23" width="5.28515625" style="13" customWidth="1"/>
    <col min="24" max="24" width="2.5703125" style="13" customWidth="1"/>
    <col min="25" max="16384" width="9.140625" style="13"/>
  </cols>
  <sheetData>
    <row r="1" spans="1:24" ht="21.75" customHeight="1" x14ac:dyDescent="0.25">
      <c r="A1" s="73"/>
      <c r="B1" s="74"/>
      <c r="C1" s="52"/>
      <c r="D1" s="52"/>
      <c r="E1" s="52"/>
      <c r="F1" s="52"/>
      <c r="G1" s="52"/>
      <c r="H1" s="52"/>
      <c r="I1" s="52"/>
      <c r="J1" s="52"/>
      <c r="K1" s="52"/>
      <c r="L1" s="52"/>
      <c r="M1" s="57"/>
      <c r="N1" s="57"/>
      <c r="O1" s="52"/>
      <c r="P1" s="52"/>
      <c r="Q1" s="52"/>
      <c r="R1" s="52"/>
      <c r="S1" s="45"/>
      <c r="T1" s="45"/>
      <c r="U1" s="45"/>
      <c r="V1" s="45"/>
      <c r="W1" s="45"/>
      <c r="X1" s="46"/>
    </row>
    <row r="2" spans="1:24" ht="26.25" customHeight="1" x14ac:dyDescent="0.25">
      <c r="A2" s="47"/>
      <c r="B2" s="21"/>
      <c r="C2" s="21"/>
      <c r="D2" s="21"/>
      <c r="E2" s="21"/>
      <c r="F2" s="21"/>
      <c r="G2" s="21"/>
      <c r="H2" s="21"/>
      <c r="I2" s="21"/>
      <c r="J2" s="21"/>
      <c r="K2" s="21"/>
      <c r="L2" s="21"/>
      <c r="M2" s="26"/>
      <c r="N2" s="60" t="s">
        <v>543</v>
      </c>
      <c r="O2" s="21"/>
      <c r="P2" s="58" t="s">
        <v>544</v>
      </c>
      <c r="Q2" s="21"/>
      <c r="R2" s="56" t="s">
        <v>566</v>
      </c>
      <c r="S2" s="22"/>
      <c r="T2" s="60" t="s">
        <v>545</v>
      </c>
      <c r="U2" s="22"/>
      <c r="V2" s="58" t="s">
        <v>546</v>
      </c>
      <c r="W2" s="22"/>
      <c r="X2" s="48"/>
    </row>
    <row r="3" spans="1:24" ht="23.25" x14ac:dyDescent="0.25">
      <c r="A3" s="47"/>
      <c r="B3" s="21"/>
      <c r="C3" s="21"/>
      <c r="D3" s="21"/>
      <c r="E3" s="21"/>
      <c r="F3" s="21"/>
      <c r="G3" s="21"/>
      <c r="H3" s="21"/>
      <c r="I3" s="21"/>
      <c r="J3" s="21"/>
      <c r="K3" s="21"/>
      <c r="L3" s="21"/>
      <c r="M3" s="26"/>
      <c r="N3" s="61">
        <v>98831.170000000013</v>
      </c>
      <c r="O3" s="21"/>
      <c r="P3" s="59">
        <v>8235.9308333333338</v>
      </c>
      <c r="Q3" s="21"/>
      <c r="R3" s="55" t="str">
        <f>Pivot_KPI_Monthly_Growth_Table!E20</f>
        <v>▲ 2,69%</v>
      </c>
      <c r="S3" s="22"/>
      <c r="T3" s="62">
        <v>70</v>
      </c>
      <c r="U3" s="22"/>
      <c r="V3" s="62">
        <v>752</v>
      </c>
      <c r="W3" s="22"/>
      <c r="X3" s="48"/>
    </row>
    <row r="4" spans="1:24" s="24" customFormat="1" ht="15" customHeight="1" x14ac:dyDescent="0.25">
      <c r="A4" s="21"/>
      <c r="B4" s="21"/>
      <c r="C4" s="21"/>
      <c r="D4" s="21"/>
      <c r="E4" s="21"/>
      <c r="F4" s="21"/>
      <c r="G4" s="21"/>
      <c r="H4" s="21"/>
      <c r="I4" s="21"/>
      <c r="J4" s="21"/>
      <c r="K4" s="21"/>
      <c r="L4" s="21"/>
      <c r="M4" s="21"/>
      <c r="N4" s="21"/>
      <c r="O4" s="21"/>
      <c r="P4" s="22"/>
      <c r="Q4" s="21"/>
      <c r="R4" s="21"/>
      <c r="S4" s="22"/>
      <c r="T4" s="22"/>
      <c r="U4" s="22"/>
      <c r="V4" s="22"/>
      <c r="W4" s="22"/>
      <c r="X4" s="22"/>
    </row>
    <row r="5" spans="1:24" s="24" customFormat="1" ht="18.75" customHeight="1" x14ac:dyDescent="0.25">
      <c r="A5" s="47"/>
      <c r="B5" s="21"/>
      <c r="C5" s="22"/>
      <c r="D5" s="22"/>
      <c r="E5" s="22"/>
      <c r="F5" s="22"/>
      <c r="G5" s="22"/>
      <c r="H5" s="22"/>
      <c r="I5" s="22"/>
      <c r="J5" s="22"/>
      <c r="K5" s="22"/>
      <c r="L5" s="22"/>
      <c r="M5" s="21"/>
      <c r="N5" s="21"/>
      <c r="O5" s="21"/>
      <c r="P5" s="22"/>
      <c r="Q5" s="21"/>
      <c r="R5" s="21"/>
      <c r="S5" s="22"/>
      <c r="T5" s="22"/>
      <c r="U5" s="22"/>
      <c r="V5" s="22"/>
      <c r="W5" s="22"/>
      <c r="X5" s="48"/>
    </row>
    <row r="6" spans="1:24" s="24" customFormat="1" ht="18.75" customHeight="1" x14ac:dyDescent="0.25">
      <c r="A6" s="47"/>
      <c r="B6" s="21"/>
      <c r="C6" s="23"/>
      <c r="D6" s="23"/>
      <c r="E6" s="23"/>
      <c r="F6" s="23"/>
      <c r="G6" s="23"/>
      <c r="H6" s="23"/>
      <c r="I6" s="23"/>
      <c r="J6" s="23"/>
      <c r="K6" s="23"/>
      <c r="L6" s="23"/>
      <c r="M6" s="22"/>
      <c r="N6" s="22"/>
      <c r="O6" s="22"/>
      <c r="P6" s="22"/>
      <c r="Q6" s="21"/>
      <c r="R6" s="21"/>
      <c r="S6" s="22"/>
      <c r="T6" s="22"/>
      <c r="U6" s="22"/>
      <c r="V6" s="22"/>
      <c r="W6" s="22"/>
      <c r="X6" s="48"/>
    </row>
    <row r="7" spans="1:24" s="24" customFormat="1" ht="18.75" customHeight="1" x14ac:dyDescent="0.25">
      <c r="A7" s="47"/>
      <c r="B7" s="21"/>
      <c r="C7" s="22"/>
      <c r="D7" s="22"/>
      <c r="E7" s="22"/>
      <c r="F7" s="22"/>
      <c r="G7" s="22"/>
      <c r="H7" s="22"/>
      <c r="I7" s="22"/>
      <c r="J7" s="22"/>
      <c r="K7" s="22"/>
      <c r="L7" s="22"/>
      <c r="M7" s="22"/>
      <c r="N7" s="22"/>
      <c r="O7" s="22"/>
      <c r="P7" s="22"/>
      <c r="Q7" s="21"/>
      <c r="R7" s="21"/>
      <c r="S7" s="22"/>
      <c r="T7" s="22"/>
      <c r="U7" s="22"/>
      <c r="V7" s="22"/>
      <c r="W7" s="22"/>
      <c r="X7" s="48"/>
    </row>
    <row r="8" spans="1:24" s="24" customFormat="1" ht="18.75" customHeight="1" x14ac:dyDescent="0.25">
      <c r="A8" s="47"/>
      <c r="B8" s="21"/>
      <c r="C8" s="22"/>
      <c r="D8" s="22"/>
      <c r="E8" s="22"/>
      <c r="F8" s="22"/>
      <c r="G8" s="22"/>
      <c r="H8" s="22"/>
      <c r="I8" s="22"/>
      <c r="J8" s="22"/>
      <c r="K8" s="22"/>
      <c r="L8" s="22"/>
      <c r="M8" s="22"/>
      <c r="N8" s="22"/>
      <c r="O8" s="22"/>
      <c r="P8" s="22"/>
      <c r="Q8" s="21"/>
      <c r="R8" s="21"/>
      <c r="S8" s="22"/>
      <c r="T8" s="22"/>
      <c r="U8" s="22"/>
      <c r="V8" s="22"/>
      <c r="W8" s="22"/>
      <c r="X8" s="48"/>
    </row>
    <row r="9" spans="1:24" s="24" customFormat="1" ht="18.75" customHeight="1" x14ac:dyDescent="0.25">
      <c r="A9" s="47"/>
      <c r="B9" s="21"/>
      <c r="C9" s="22"/>
      <c r="D9" s="22"/>
      <c r="E9" s="22"/>
      <c r="F9" s="22"/>
      <c r="G9" s="22"/>
      <c r="H9" s="22"/>
      <c r="I9" s="22"/>
      <c r="J9" s="22"/>
      <c r="K9" s="22"/>
      <c r="L9" s="22"/>
      <c r="M9" s="22"/>
      <c r="N9" s="22"/>
      <c r="O9" s="22"/>
      <c r="P9" s="22"/>
      <c r="Q9" s="21"/>
      <c r="R9" s="21"/>
      <c r="S9" s="22"/>
      <c r="T9" s="22"/>
      <c r="U9" s="22"/>
      <c r="V9" s="22"/>
      <c r="W9" s="22"/>
      <c r="X9" s="48"/>
    </row>
    <row r="10" spans="1:24" s="24" customFormat="1" ht="18.75" customHeight="1" x14ac:dyDescent="0.25">
      <c r="A10" s="47"/>
      <c r="B10" s="21"/>
      <c r="C10" s="22"/>
      <c r="D10" s="22"/>
      <c r="E10" s="22"/>
      <c r="F10" s="22"/>
      <c r="G10" s="22"/>
      <c r="H10" s="22"/>
      <c r="I10" s="22"/>
      <c r="J10" s="22"/>
      <c r="K10" s="22"/>
      <c r="L10" s="22"/>
      <c r="M10" s="22"/>
      <c r="N10" s="22"/>
      <c r="O10" s="22"/>
      <c r="P10" s="22"/>
      <c r="Q10" s="21"/>
      <c r="R10" s="21"/>
      <c r="S10" s="22"/>
      <c r="T10" s="22"/>
      <c r="U10" s="22"/>
      <c r="V10" s="22"/>
      <c r="W10" s="22"/>
      <c r="X10" s="48"/>
    </row>
    <row r="11" spans="1:24" s="24" customFormat="1" ht="18.75" customHeight="1" x14ac:dyDescent="0.25">
      <c r="A11" s="47"/>
      <c r="B11" s="21"/>
      <c r="C11" s="22"/>
      <c r="D11" s="22"/>
      <c r="E11" s="22"/>
      <c r="F11" s="22"/>
      <c r="G11" s="22"/>
      <c r="H11" s="22"/>
      <c r="I11" s="22"/>
      <c r="J11" s="22"/>
      <c r="K11" s="22"/>
      <c r="L11" s="22"/>
      <c r="M11" s="22"/>
      <c r="N11" s="22"/>
      <c r="O11" s="22"/>
      <c r="P11" s="22"/>
      <c r="Q11" s="21"/>
      <c r="R11" s="22"/>
      <c r="S11" s="22"/>
      <c r="T11" s="22"/>
      <c r="U11" s="22"/>
      <c r="V11" s="22"/>
      <c r="W11" s="22"/>
      <c r="X11" s="48"/>
    </row>
    <row r="12" spans="1:24" s="24" customFormat="1" ht="18.75" customHeight="1" x14ac:dyDescent="0.25">
      <c r="A12" s="47"/>
      <c r="B12" s="21"/>
      <c r="C12" s="22"/>
      <c r="D12" s="22"/>
      <c r="E12" s="22"/>
      <c r="F12" s="22"/>
      <c r="G12" s="22"/>
      <c r="H12" s="22"/>
      <c r="I12" s="22"/>
      <c r="J12" s="22"/>
      <c r="K12" s="22"/>
      <c r="L12" s="22"/>
      <c r="M12" s="22"/>
      <c r="N12" s="22"/>
      <c r="O12" s="22"/>
      <c r="P12" s="22"/>
      <c r="Q12" s="21"/>
      <c r="R12" s="22"/>
      <c r="S12" s="22"/>
      <c r="T12" s="22"/>
      <c r="U12" s="22"/>
      <c r="V12" s="22"/>
      <c r="W12" s="22"/>
      <c r="X12" s="48"/>
    </row>
    <row r="13" spans="1:24" s="24" customFormat="1" ht="18.75" customHeight="1" x14ac:dyDescent="0.25">
      <c r="A13" s="47"/>
      <c r="B13" s="21"/>
      <c r="C13" s="22"/>
      <c r="D13" s="22"/>
      <c r="E13" s="22"/>
      <c r="F13" s="22"/>
      <c r="G13" s="22"/>
      <c r="H13" s="22"/>
      <c r="I13" s="22"/>
      <c r="J13" s="22"/>
      <c r="K13" s="22"/>
      <c r="L13" s="22"/>
      <c r="M13" s="22"/>
      <c r="N13" s="22"/>
      <c r="O13" s="22"/>
      <c r="P13" s="22"/>
      <c r="Q13" s="21"/>
      <c r="R13" s="22"/>
      <c r="S13" s="22"/>
      <c r="T13" s="22"/>
      <c r="U13" s="22"/>
      <c r="V13" s="22"/>
      <c r="W13" s="22"/>
      <c r="X13" s="48"/>
    </row>
    <row r="14" spans="1:24" s="24" customFormat="1" ht="18.75" customHeight="1" x14ac:dyDescent="0.25">
      <c r="A14" s="47"/>
      <c r="B14" s="21"/>
      <c r="C14" s="22"/>
      <c r="D14" s="22"/>
      <c r="E14" s="22"/>
      <c r="F14" s="22"/>
      <c r="G14" s="22"/>
      <c r="H14" s="22"/>
      <c r="I14" s="22"/>
      <c r="J14" s="22"/>
      <c r="K14" s="22"/>
      <c r="L14" s="22"/>
      <c r="M14" s="22"/>
      <c r="N14" s="22"/>
      <c r="O14" s="22"/>
      <c r="P14" s="22"/>
      <c r="Q14" s="21"/>
      <c r="R14" s="22"/>
      <c r="S14" s="22"/>
      <c r="T14" s="22"/>
      <c r="U14" s="22"/>
      <c r="V14" s="22"/>
      <c r="W14" s="22"/>
      <c r="X14" s="48"/>
    </row>
    <row r="15" spans="1:24" s="24" customFormat="1" ht="18.75" customHeight="1" x14ac:dyDescent="0.25">
      <c r="A15" s="47"/>
      <c r="B15" s="21"/>
      <c r="C15" s="22"/>
      <c r="D15" s="22"/>
      <c r="E15" s="22"/>
      <c r="F15" s="22"/>
      <c r="G15" s="22"/>
      <c r="H15" s="22"/>
      <c r="I15" s="22"/>
      <c r="J15" s="22"/>
      <c r="K15" s="22"/>
      <c r="L15" s="22"/>
      <c r="M15" s="22"/>
      <c r="N15" s="22"/>
      <c r="O15" s="22"/>
      <c r="P15" s="22"/>
      <c r="Q15" s="21"/>
      <c r="R15" s="22"/>
      <c r="S15" s="22"/>
      <c r="T15" s="22"/>
      <c r="U15" s="22"/>
      <c r="V15" s="22"/>
      <c r="W15" s="22"/>
      <c r="X15" s="48"/>
    </row>
    <row r="16" spans="1:24" s="24" customFormat="1" ht="18.75" customHeight="1" x14ac:dyDescent="0.25">
      <c r="A16" s="21"/>
      <c r="B16" s="21"/>
      <c r="C16" s="22"/>
      <c r="D16" s="22"/>
      <c r="E16" s="22"/>
      <c r="F16" s="22"/>
      <c r="G16" s="22"/>
      <c r="H16" s="22"/>
      <c r="I16" s="22"/>
      <c r="J16" s="22"/>
      <c r="K16" s="22"/>
      <c r="L16" s="22"/>
      <c r="M16" s="22"/>
      <c r="N16" s="22"/>
      <c r="O16" s="22"/>
      <c r="P16" s="22"/>
      <c r="Q16" s="21"/>
      <c r="R16" s="21"/>
      <c r="S16" s="22"/>
      <c r="T16" s="22"/>
      <c r="U16" s="22"/>
      <c r="V16" s="22"/>
      <c r="W16" s="22"/>
      <c r="X16" s="22"/>
    </row>
    <row r="17" spans="1:24" s="24" customFormat="1" ht="18.75" customHeight="1" x14ac:dyDescent="0.25">
      <c r="A17" s="47"/>
      <c r="B17" s="21"/>
      <c r="C17" s="22"/>
      <c r="D17" s="22"/>
      <c r="E17" s="21"/>
      <c r="F17" s="21"/>
      <c r="G17" s="21"/>
      <c r="H17" s="21"/>
      <c r="I17" s="21"/>
      <c r="J17" s="21"/>
      <c r="K17" s="21"/>
      <c r="L17" s="21"/>
      <c r="M17" s="22"/>
      <c r="N17" s="22"/>
      <c r="O17" s="22"/>
      <c r="P17" s="22"/>
      <c r="Q17" s="21"/>
      <c r="R17" s="21"/>
      <c r="S17" s="22"/>
      <c r="T17" s="22"/>
      <c r="U17" s="22"/>
      <c r="V17" s="22"/>
      <c r="W17" s="22"/>
      <c r="X17" s="48"/>
    </row>
    <row r="18" spans="1:24" s="24" customFormat="1" ht="18.75" customHeight="1" x14ac:dyDescent="0.25">
      <c r="A18" s="47"/>
      <c r="B18" s="21"/>
      <c r="C18" s="22"/>
      <c r="D18" s="22"/>
      <c r="E18" s="21"/>
      <c r="F18" s="21"/>
      <c r="G18" s="21"/>
      <c r="H18" s="21"/>
      <c r="I18" s="21"/>
      <c r="J18" s="21"/>
      <c r="K18" s="21"/>
      <c r="L18" s="21"/>
      <c r="M18" s="22"/>
      <c r="N18" s="22"/>
      <c r="O18" s="22"/>
      <c r="P18" s="22"/>
      <c r="Q18" s="21"/>
      <c r="R18" s="21"/>
      <c r="S18" s="22"/>
      <c r="T18" s="22"/>
      <c r="U18" s="22"/>
      <c r="V18" s="22"/>
      <c r="W18" s="22"/>
      <c r="X18" s="48"/>
    </row>
    <row r="19" spans="1:24" s="24" customFormat="1" ht="18.75" customHeight="1" x14ac:dyDescent="0.25">
      <c r="A19" s="47"/>
      <c r="B19" s="21"/>
      <c r="C19" s="22"/>
      <c r="D19" s="22"/>
      <c r="E19" s="21"/>
      <c r="F19" s="21"/>
      <c r="G19" s="21"/>
      <c r="H19" s="21"/>
      <c r="I19" s="21"/>
      <c r="J19" s="21"/>
      <c r="K19" s="21"/>
      <c r="L19" s="21"/>
      <c r="M19" s="21"/>
      <c r="N19" s="21"/>
      <c r="O19" s="21"/>
      <c r="P19" s="21"/>
      <c r="Q19" s="21"/>
      <c r="R19" s="21"/>
      <c r="S19" s="22"/>
      <c r="T19" s="22"/>
      <c r="U19" s="22"/>
      <c r="V19" s="22"/>
      <c r="W19" s="22"/>
      <c r="X19" s="48"/>
    </row>
    <row r="20" spans="1:24" s="24" customFormat="1" ht="18.75" customHeight="1" x14ac:dyDescent="0.25">
      <c r="A20" s="47"/>
      <c r="B20" s="21"/>
      <c r="C20" s="22"/>
      <c r="D20" s="22"/>
      <c r="E20" s="21"/>
      <c r="F20" s="21"/>
      <c r="G20" s="21"/>
      <c r="H20" s="21"/>
      <c r="I20" s="21"/>
      <c r="J20" s="21"/>
      <c r="K20" s="21"/>
      <c r="L20" s="21"/>
      <c r="M20" s="21"/>
      <c r="N20" s="21"/>
      <c r="O20" s="21"/>
      <c r="P20" s="21"/>
      <c r="Q20" s="21"/>
      <c r="R20" s="21"/>
      <c r="S20" s="22"/>
      <c r="T20" s="22"/>
      <c r="U20" s="22"/>
      <c r="V20" s="22"/>
      <c r="W20" s="22"/>
      <c r="X20" s="48"/>
    </row>
    <row r="21" spans="1:24" s="24" customFormat="1" ht="18.75" customHeight="1" x14ac:dyDescent="0.25">
      <c r="A21" s="47"/>
      <c r="B21" s="21"/>
      <c r="C21" s="22"/>
      <c r="D21" s="22"/>
      <c r="E21" s="21"/>
      <c r="F21" s="21"/>
      <c r="G21" s="21"/>
      <c r="H21" s="21"/>
      <c r="I21" s="21"/>
      <c r="J21" s="21"/>
      <c r="K21" s="21"/>
      <c r="L21" s="21"/>
      <c r="M21" s="21"/>
      <c r="N21" s="21"/>
      <c r="O21" s="21"/>
      <c r="P21" s="21"/>
      <c r="Q21" s="21"/>
      <c r="R21" s="21"/>
      <c r="S21" s="22"/>
      <c r="T21" s="22"/>
      <c r="U21" s="22"/>
      <c r="V21" s="22"/>
      <c r="W21" s="22"/>
      <c r="X21" s="48"/>
    </row>
    <row r="22" spans="1:24" s="24" customFormat="1" ht="18.75" customHeight="1" x14ac:dyDescent="0.25">
      <c r="A22" s="47"/>
      <c r="B22" s="21"/>
      <c r="C22" s="22"/>
      <c r="D22" s="22"/>
      <c r="E22" s="21"/>
      <c r="F22" s="21"/>
      <c r="G22" s="21"/>
      <c r="H22" s="21"/>
      <c r="I22" s="21"/>
      <c r="J22" s="21"/>
      <c r="K22" s="21"/>
      <c r="L22" s="21"/>
      <c r="M22" s="21"/>
      <c r="N22" s="21"/>
      <c r="O22" s="21"/>
      <c r="P22" s="21"/>
      <c r="Q22" s="21"/>
      <c r="R22" s="21"/>
      <c r="S22" s="22"/>
      <c r="T22" s="22"/>
      <c r="U22" s="22"/>
      <c r="V22" s="22"/>
      <c r="W22" s="22"/>
      <c r="X22" s="48"/>
    </row>
    <row r="23" spans="1:24" s="24" customFormat="1" ht="18.75" customHeight="1" x14ac:dyDescent="0.25">
      <c r="A23" s="47"/>
      <c r="B23" s="21"/>
      <c r="C23" s="22"/>
      <c r="D23" s="22"/>
      <c r="E23" s="21"/>
      <c r="F23" s="21"/>
      <c r="G23" s="21"/>
      <c r="H23" s="21"/>
      <c r="I23" s="21"/>
      <c r="J23" s="21"/>
      <c r="K23" s="21"/>
      <c r="L23" s="21"/>
      <c r="M23" s="21"/>
      <c r="N23" s="21"/>
      <c r="O23" s="21"/>
      <c r="P23" s="21"/>
      <c r="Q23" s="21"/>
      <c r="R23" s="21"/>
      <c r="S23" s="22"/>
      <c r="T23" s="22"/>
      <c r="U23" s="22"/>
      <c r="V23" s="22"/>
      <c r="W23" s="22"/>
      <c r="X23" s="48"/>
    </row>
    <row r="24" spans="1:24" s="24" customFormat="1" ht="18.75" customHeight="1" x14ac:dyDescent="0.25">
      <c r="A24" s="47"/>
      <c r="B24" s="21"/>
      <c r="C24" s="21"/>
      <c r="D24" s="21"/>
      <c r="E24" s="54"/>
      <c r="F24" s="54"/>
      <c r="G24" s="54"/>
      <c r="H24" s="54"/>
      <c r="I24" s="54"/>
      <c r="J24" s="54"/>
      <c r="K24" s="54"/>
      <c r="L24" s="54"/>
      <c r="M24" s="21"/>
      <c r="N24" s="21"/>
      <c r="O24" s="21"/>
      <c r="P24" s="21"/>
      <c r="Q24" s="21"/>
      <c r="R24" s="21"/>
      <c r="S24" s="22"/>
      <c r="T24" s="22"/>
      <c r="U24" s="22"/>
      <c r="V24" s="22"/>
      <c r="W24" s="22"/>
      <c r="X24" s="48"/>
    </row>
    <row r="25" spans="1:24" s="24" customFormat="1" ht="18.75" customHeight="1" x14ac:dyDescent="0.25">
      <c r="A25" s="47"/>
      <c r="B25" s="21"/>
      <c r="C25" s="21"/>
      <c r="D25" s="21"/>
      <c r="E25" s="21"/>
      <c r="F25" s="21"/>
      <c r="G25" s="21"/>
      <c r="H25" s="21"/>
      <c r="I25" s="21"/>
      <c r="J25" s="21"/>
      <c r="K25" s="21"/>
      <c r="L25" s="21"/>
      <c r="M25" s="22"/>
      <c r="N25" s="21"/>
      <c r="O25" s="21"/>
      <c r="P25" s="21"/>
      <c r="Q25" s="21"/>
      <c r="R25" s="21"/>
      <c r="S25" s="22"/>
      <c r="T25" s="22"/>
      <c r="U25" s="22"/>
      <c r="V25" s="22"/>
      <c r="W25" s="22"/>
      <c r="X25" s="48"/>
    </row>
    <row r="26" spans="1:24" s="24" customFormat="1" ht="18.75" customHeight="1" x14ac:dyDescent="0.25">
      <c r="A26" s="47"/>
      <c r="B26" s="21"/>
      <c r="C26" s="21"/>
      <c r="D26" s="21"/>
      <c r="E26" s="21"/>
      <c r="F26" s="21"/>
      <c r="G26" s="21"/>
      <c r="H26" s="21"/>
      <c r="I26" s="21"/>
      <c r="J26" s="21"/>
      <c r="K26" s="21"/>
      <c r="L26" s="21"/>
      <c r="M26" s="22"/>
      <c r="N26" s="21"/>
      <c r="O26" s="21"/>
      <c r="P26" s="21"/>
      <c r="Q26" s="21"/>
      <c r="R26" s="21"/>
      <c r="S26" s="22"/>
      <c r="T26" s="22"/>
      <c r="U26" s="22"/>
      <c r="V26" s="22"/>
      <c r="W26" s="22"/>
      <c r="X26" s="48"/>
    </row>
    <row r="27" spans="1:24" s="24" customFormat="1" ht="25.5" customHeight="1" x14ac:dyDescent="0.25">
      <c r="A27" s="21"/>
      <c r="B27" s="21"/>
      <c r="C27" s="21"/>
      <c r="D27" s="21"/>
      <c r="E27" s="21"/>
      <c r="F27" s="21"/>
      <c r="G27" s="21"/>
      <c r="H27" s="21"/>
      <c r="I27" s="21"/>
      <c r="J27" s="21"/>
      <c r="K27" s="21"/>
      <c r="L27" s="21"/>
      <c r="M27" s="21"/>
      <c r="N27" s="21"/>
      <c r="O27" s="21"/>
      <c r="P27" s="21"/>
      <c r="Q27" s="21"/>
      <c r="R27" s="21"/>
      <c r="S27" s="22"/>
      <c r="T27" s="22"/>
      <c r="U27" s="22"/>
      <c r="V27" s="22"/>
      <c r="W27" s="22"/>
      <c r="X27" s="22"/>
    </row>
    <row r="28" spans="1:24" s="24" customFormat="1" ht="31.5" customHeight="1" x14ac:dyDescent="0.25">
      <c r="A28" s="47"/>
      <c r="B28" s="77" t="s">
        <v>1070</v>
      </c>
      <c r="C28" s="77"/>
      <c r="D28" s="77"/>
      <c r="E28" s="77"/>
      <c r="F28" s="77"/>
      <c r="G28" s="77"/>
      <c r="H28" s="21"/>
      <c r="I28" s="21"/>
      <c r="J28" s="21"/>
      <c r="K28" s="21"/>
      <c r="L28" s="90" t="s">
        <v>1073</v>
      </c>
      <c r="M28" s="90"/>
      <c r="N28" s="90"/>
      <c r="O28" s="21"/>
      <c r="P28" s="21"/>
      <c r="Q28" s="90" t="s">
        <v>1074</v>
      </c>
      <c r="R28" s="90"/>
      <c r="S28" s="90"/>
      <c r="T28" s="90"/>
      <c r="U28" s="90"/>
      <c r="V28" s="22"/>
      <c r="W28" s="22"/>
      <c r="X28" s="48"/>
    </row>
    <row r="29" spans="1:24" ht="10.5" customHeight="1" x14ac:dyDescent="0.25">
      <c r="A29" s="47"/>
      <c r="B29" s="21"/>
      <c r="C29" s="21"/>
      <c r="D29" s="21"/>
      <c r="E29" s="21"/>
      <c r="F29" s="21"/>
      <c r="G29" s="21"/>
      <c r="H29" s="21"/>
      <c r="I29" s="21"/>
      <c r="J29" s="21"/>
      <c r="K29" s="21"/>
      <c r="L29" s="21"/>
      <c r="M29" s="21"/>
      <c r="N29" s="21"/>
      <c r="O29" s="21"/>
      <c r="P29" s="21"/>
      <c r="Q29" s="21"/>
      <c r="R29" s="21"/>
      <c r="S29" s="22"/>
      <c r="T29" s="22"/>
      <c r="U29" s="22"/>
      <c r="V29" s="22"/>
      <c r="W29" s="22"/>
      <c r="X29" s="48"/>
    </row>
    <row r="30" spans="1:24" s="24" customFormat="1" ht="38.25" customHeight="1" x14ac:dyDescent="0.25">
      <c r="A30" s="47"/>
      <c r="B30" s="72"/>
      <c r="C30" s="72"/>
      <c r="D30" s="63" t="str">
        <f>Pivot_Heatmap!B11</f>
        <v>Boots</v>
      </c>
      <c r="E30" s="63" t="str">
        <f>Pivot_Heatmap!C11</f>
        <v>Casual</v>
      </c>
      <c r="F30" s="63" t="str">
        <f>Pivot_Heatmap!D11</f>
        <v>Formal</v>
      </c>
      <c r="G30" s="63" t="str">
        <f>Pivot_Heatmap!E11</f>
        <v>Running</v>
      </c>
      <c r="H30" s="63" t="str">
        <f>Pivot_Heatmap!F11</f>
        <v>Sneakers</v>
      </c>
      <c r="I30" s="63" t="str">
        <f>Pivot_Heatmap!G11</f>
        <v>Sports</v>
      </c>
      <c r="J30" s="63"/>
      <c r="K30" s="69"/>
      <c r="L30" s="69"/>
      <c r="M30" s="21"/>
      <c r="N30" s="21"/>
      <c r="O30" s="21"/>
      <c r="P30" s="21"/>
      <c r="Q30" s="21"/>
      <c r="R30" s="21"/>
      <c r="S30" s="22"/>
      <c r="T30" s="22"/>
      <c r="U30" s="22"/>
      <c r="V30" s="22"/>
      <c r="W30" s="22"/>
      <c r="X30" s="48"/>
    </row>
    <row r="31" spans="1:24" ht="34.5" customHeight="1" x14ac:dyDescent="0.35">
      <c r="A31" s="47"/>
      <c r="B31" s="64"/>
      <c r="C31" s="65" t="str">
        <f>Pivot_Heatmap!A12</f>
        <v>Adidas</v>
      </c>
      <c r="D31" s="68">
        <f>Pivot_Heatmap!B12</f>
        <v>36</v>
      </c>
      <c r="E31" s="68">
        <f>Pivot_Heatmap!C12</f>
        <v>21</v>
      </c>
      <c r="F31" s="68">
        <f>Pivot_Heatmap!D12</f>
        <v>0</v>
      </c>
      <c r="G31" s="68">
        <f>Pivot_Heatmap!E12</f>
        <v>14</v>
      </c>
      <c r="H31" s="68">
        <f>Pivot_Heatmap!F12</f>
        <v>27</v>
      </c>
      <c r="I31" s="68">
        <f>Pivot_Heatmap!G12</f>
        <v>30</v>
      </c>
      <c r="J31" s="68"/>
      <c r="K31" s="70"/>
      <c r="L31" s="70"/>
      <c r="M31" s="21"/>
      <c r="N31" s="21"/>
      <c r="O31" s="21"/>
      <c r="P31" s="21"/>
      <c r="Q31" s="21"/>
      <c r="R31" s="21"/>
      <c r="S31" s="22"/>
      <c r="T31" s="22"/>
      <c r="U31" s="22"/>
      <c r="V31" s="22"/>
      <c r="W31" s="22"/>
      <c r="X31" s="48"/>
    </row>
    <row r="32" spans="1:24" ht="34.5" customHeight="1" x14ac:dyDescent="0.35">
      <c r="A32" s="47"/>
      <c r="B32" s="64"/>
      <c r="C32" s="65" t="str">
        <f>Pivot_Heatmap!A13</f>
        <v>New Balance</v>
      </c>
      <c r="D32" s="68">
        <f>Pivot_Heatmap!B13</f>
        <v>25</v>
      </c>
      <c r="E32" s="68">
        <f>Pivot_Heatmap!C13</f>
        <v>54</v>
      </c>
      <c r="F32" s="68">
        <f>Pivot_Heatmap!D13</f>
        <v>22</v>
      </c>
      <c r="G32" s="68">
        <f>Pivot_Heatmap!E13</f>
        <v>47</v>
      </c>
      <c r="H32" s="68">
        <f>Pivot_Heatmap!F13</f>
        <v>21</v>
      </c>
      <c r="I32" s="68">
        <f>Pivot_Heatmap!G13</f>
        <v>11</v>
      </c>
      <c r="J32" s="68"/>
      <c r="K32" s="70"/>
      <c r="L32" s="70"/>
      <c r="M32" s="21"/>
      <c r="N32" s="21"/>
      <c r="O32" s="21"/>
      <c r="P32" s="21"/>
      <c r="Q32" s="21"/>
      <c r="R32" s="21"/>
      <c r="S32" s="22"/>
      <c r="T32" s="22"/>
      <c r="U32" s="22"/>
      <c r="V32" s="22"/>
      <c r="W32" s="22"/>
      <c r="X32" s="48"/>
    </row>
    <row r="33" spans="1:24" ht="34.5" customHeight="1" x14ac:dyDescent="0.35">
      <c r="A33" s="47"/>
      <c r="B33" s="64"/>
      <c r="C33" s="65" t="str">
        <f>Pivot_Heatmap!A14</f>
        <v>Nike</v>
      </c>
      <c r="D33" s="68">
        <f>Pivot_Heatmap!B14</f>
        <v>26</v>
      </c>
      <c r="E33" s="68">
        <f>Pivot_Heatmap!C14</f>
        <v>12</v>
      </c>
      <c r="F33" s="68">
        <f>Pivot_Heatmap!D14</f>
        <v>27</v>
      </c>
      <c r="G33" s="68">
        <f>Pivot_Heatmap!E14</f>
        <v>16</v>
      </c>
      <c r="H33" s="68">
        <f>Pivot_Heatmap!F14</f>
        <v>46</v>
      </c>
      <c r="I33" s="68">
        <f>Pivot_Heatmap!G14</f>
        <v>0</v>
      </c>
      <c r="J33" s="68"/>
      <c r="K33" s="70"/>
      <c r="L33" s="70"/>
      <c r="M33" s="21"/>
      <c r="N33" s="21"/>
      <c r="O33" s="21"/>
      <c r="P33" s="21"/>
      <c r="Q33" s="21"/>
      <c r="R33" s="21"/>
      <c r="S33" s="22"/>
      <c r="T33" s="22"/>
      <c r="U33" s="22"/>
      <c r="V33" s="22"/>
      <c r="W33" s="22"/>
      <c r="X33" s="48"/>
    </row>
    <row r="34" spans="1:24" ht="34.5" customHeight="1" x14ac:dyDescent="0.35">
      <c r="A34" s="47"/>
      <c r="B34" s="64"/>
      <c r="C34" s="65" t="str">
        <f>Pivot_Heatmap!A15</f>
        <v>Puma</v>
      </c>
      <c r="D34" s="68">
        <f>Pivot_Heatmap!B15</f>
        <v>7</v>
      </c>
      <c r="E34" s="68">
        <f>Pivot_Heatmap!C15</f>
        <v>11</v>
      </c>
      <c r="F34" s="68">
        <f>Pivot_Heatmap!D15</f>
        <v>40</v>
      </c>
      <c r="G34" s="68">
        <f>Pivot_Heatmap!E15</f>
        <v>0</v>
      </c>
      <c r="H34" s="68">
        <f>Pivot_Heatmap!F15</f>
        <v>25</v>
      </c>
      <c r="I34" s="68">
        <f>Pivot_Heatmap!G15</f>
        <v>7</v>
      </c>
      <c r="J34" s="68"/>
      <c r="K34" s="70"/>
      <c r="L34" s="70"/>
      <c r="M34" s="21"/>
      <c r="N34" s="21"/>
      <c r="O34" s="21"/>
      <c r="P34" s="21"/>
      <c r="Q34" s="21"/>
      <c r="R34" s="21"/>
      <c r="S34" s="22"/>
      <c r="T34" s="22"/>
      <c r="U34" s="22"/>
      <c r="V34" s="22"/>
      <c r="W34" s="22"/>
      <c r="X34" s="48"/>
    </row>
    <row r="35" spans="1:24" ht="34.5" customHeight="1" x14ac:dyDescent="0.35">
      <c r="A35" s="47"/>
      <c r="B35" s="64"/>
      <c r="C35" s="65" t="str">
        <f>Pivot_Heatmap!A16</f>
        <v>Reebok</v>
      </c>
      <c r="D35" s="68">
        <f>Pivot_Heatmap!B16</f>
        <v>16</v>
      </c>
      <c r="E35" s="68">
        <f>Pivot_Heatmap!C16</f>
        <v>51</v>
      </c>
      <c r="F35" s="68">
        <f>Pivot_Heatmap!D16</f>
        <v>22</v>
      </c>
      <c r="G35" s="68">
        <f>Pivot_Heatmap!E16</f>
        <v>0</v>
      </c>
      <c r="H35" s="68">
        <f>Pivot_Heatmap!F16</f>
        <v>17</v>
      </c>
      <c r="I35" s="68">
        <f>Pivot_Heatmap!G16</f>
        <v>24</v>
      </c>
      <c r="J35" s="68"/>
      <c r="K35" s="70"/>
      <c r="L35" s="70"/>
      <c r="M35" s="21"/>
      <c r="N35" s="21"/>
      <c r="O35" s="21"/>
      <c r="P35" s="21"/>
      <c r="Q35" s="21"/>
      <c r="R35" s="21"/>
      <c r="S35" s="22"/>
      <c r="T35" s="22"/>
      <c r="U35" s="22"/>
      <c r="V35" s="22"/>
      <c r="W35" s="22"/>
      <c r="X35" s="48"/>
    </row>
    <row r="36" spans="1:24" ht="34.5" customHeight="1" x14ac:dyDescent="0.35">
      <c r="A36" s="47"/>
      <c r="B36" s="64"/>
      <c r="C36" s="65" t="str">
        <f>Pivot_Heatmap!A17</f>
        <v>Skechers</v>
      </c>
      <c r="D36" s="68">
        <f>Pivot_Heatmap!B17</f>
        <v>12</v>
      </c>
      <c r="E36" s="68">
        <f>Pivot_Heatmap!C17</f>
        <v>17</v>
      </c>
      <c r="F36" s="68">
        <f>Pivot_Heatmap!D17</f>
        <v>21</v>
      </c>
      <c r="G36" s="68">
        <f>Pivot_Heatmap!E17</f>
        <v>11</v>
      </c>
      <c r="H36" s="68">
        <f>Pivot_Heatmap!F17</f>
        <v>36</v>
      </c>
      <c r="I36" s="68">
        <f>Pivot_Heatmap!G17</f>
        <v>0</v>
      </c>
      <c r="J36" s="68"/>
      <c r="K36" s="70"/>
      <c r="L36" s="70"/>
      <c r="M36" s="21"/>
      <c r="N36" s="21"/>
      <c r="O36" s="21"/>
      <c r="P36" s="21"/>
      <c r="Q36" s="21"/>
      <c r="R36" s="21"/>
      <c r="S36" s="22"/>
      <c r="T36" s="22"/>
      <c r="U36" s="22"/>
      <c r="V36" s="22"/>
      <c r="W36" s="22"/>
      <c r="X36" s="48"/>
    </row>
    <row r="37" spans="1:24" ht="19.5" customHeight="1" x14ac:dyDescent="0.35">
      <c r="A37" s="47"/>
      <c r="B37" s="64"/>
      <c r="C37" s="65"/>
      <c r="D37" s="68"/>
      <c r="E37" s="68"/>
      <c r="F37" s="68"/>
      <c r="G37" s="68"/>
      <c r="H37" s="68"/>
      <c r="I37" s="68"/>
      <c r="J37" s="68"/>
      <c r="K37" s="70"/>
      <c r="L37" s="70"/>
      <c r="M37" s="21"/>
      <c r="N37" s="21"/>
      <c r="O37" s="21"/>
      <c r="P37" s="21"/>
      <c r="Q37" s="21"/>
      <c r="R37" s="21"/>
      <c r="S37" s="22"/>
      <c r="T37" s="22"/>
      <c r="U37" s="22"/>
      <c r="V37" s="22"/>
      <c r="W37" s="22"/>
      <c r="X37" s="48"/>
    </row>
    <row r="38" spans="1:24" s="24" customFormat="1" ht="22.5" customHeight="1" x14ac:dyDescent="0.25">
      <c r="A38" s="21"/>
      <c r="B38" s="21"/>
      <c r="C38" s="21"/>
      <c r="D38" s="21"/>
      <c r="E38" s="21"/>
      <c r="F38" s="21"/>
      <c r="G38" s="21"/>
      <c r="H38" s="21"/>
      <c r="I38" s="21"/>
      <c r="J38" s="21"/>
      <c r="K38" s="21"/>
      <c r="L38" s="21"/>
      <c r="M38" s="21"/>
      <c r="N38" s="21"/>
      <c r="O38" s="21"/>
      <c r="P38" s="21"/>
      <c r="Q38" s="21"/>
      <c r="R38" s="21"/>
      <c r="S38" s="22"/>
      <c r="T38" s="22"/>
      <c r="U38" s="22"/>
      <c r="V38" s="22"/>
      <c r="W38" s="22"/>
      <c r="X38" s="22"/>
    </row>
    <row r="39" spans="1:24" ht="33" customHeight="1" x14ac:dyDescent="0.25">
      <c r="A39" s="47"/>
      <c r="B39" s="78" t="s">
        <v>1069</v>
      </c>
      <c r="C39" s="78"/>
      <c r="D39" s="78"/>
      <c r="E39" s="78"/>
      <c r="F39" s="78"/>
      <c r="G39" s="79"/>
      <c r="H39" s="21"/>
      <c r="I39" s="21"/>
      <c r="J39" s="21"/>
      <c r="K39" s="21"/>
      <c r="L39" s="21"/>
      <c r="M39" s="89"/>
      <c r="N39" s="89"/>
      <c r="O39" s="89"/>
      <c r="P39" s="89"/>
      <c r="Q39" s="21"/>
      <c r="R39" s="89"/>
      <c r="S39" s="89"/>
      <c r="T39" s="89"/>
      <c r="U39" s="89"/>
      <c r="V39" s="22"/>
      <c r="W39" s="22"/>
      <c r="X39" s="48"/>
    </row>
    <row r="40" spans="1:24" ht="8.25" customHeight="1" x14ac:dyDescent="0.25">
      <c r="A40" s="47"/>
      <c r="B40" s="21"/>
      <c r="C40" s="21"/>
      <c r="D40" s="21"/>
      <c r="E40" s="21"/>
      <c r="F40" s="21"/>
      <c r="G40" s="21"/>
      <c r="H40" s="21"/>
      <c r="I40" s="21"/>
      <c r="J40" s="21"/>
      <c r="K40" s="21"/>
      <c r="L40" s="21"/>
      <c r="M40" s="21"/>
      <c r="N40" s="21"/>
      <c r="O40" s="21"/>
      <c r="P40" s="21"/>
      <c r="Q40" s="21"/>
      <c r="R40" s="22"/>
      <c r="S40" s="71"/>
      <c r="T40" s="71"/>
      <c r="U40" s="22"/>
      <c r="V40" s="22"/>
      <c r="W40" s="22"/>
      <c r="X40" s="48"/>
    </row>
    <row r="41" spans="1:24" ht="38.25" customHeight="1" x14ac:dyDescent="0.25">
      <c r="A41" s="47"/>
      <c r="B41" s="72"/>
      <c r="C41" s="72"/>
      <c r="D41" s="66" t="str">
        <f>Pivot_Heatmap!K11</f>
        <v>Black</v>
      </c>
      <c r="E41" s="66" t="str">
        <f>Pivot_Heatmap!L11</f>
        <v>Blue</v>
      </c>
      <c r="F41" s="66" t="str">
        <f>Pivot_Heatmap!M11</f>
        <v>Green</v>
      </c>
      <c r="G41" s="66" t="str">
        <f>Pivot_Heatmap!N11</f>
        <v>Grey</v>
      </c>
      <c r="H41" s="66" t="str">
        <f>Pivot_Heatmap!O11</f>
        <v>Red</v>
      </c>
      <c r="I41" s="66" t="str">
        <f>Pivot_Heatmap!P11</f>
        <v>White</v>
      </c>
      <c r="J41" s="66"/>
      <c r="K41" s="66" t="s">
        <v>1072</v>
      </c>
      <c r="L41" s="66"/>
      <c r="M41" s="21"/>
      <c r="N41" s="21"/>
      <c r="O41" s="21"/>
      <c r="P41" s="21"/>
      <c r="Q41" s="21"/>
      <c r="R41" s="22"/>
      <c r="S41" s="22"/>
      <c r="T41" s="22"/>
      <c r="U41" s="22"/>
      <c r="V41" s="22"/>
      <c r="W41" s="22"/>
      <c r="X41" s="48"/>
    </row>
    <row r="42" spans="1:24" ht="34.5" customHeight="1" x14ac:dyDescent="0.35">
      <c r="A42" s="47"/>
      <c r="B42" s="64"/>
      <c r="C42" s="67" t="str">
        <f>Pivot_Heatmap!J12</f>
        <v>Boots</v>
      </c>
      <c r="D42" s="83">
        <f>Pivot_Heatmap!K12</f>
        <v>23</v>
      </c>
      <c r="E42" s="83">
        <f>Pivot_Heatmap!L12</f>
        <v>25</v>
      </c>
      <c r="F42" s="83">
        <f>Pivot_Heatmap!M12</f>
        <v>30</v>
      </c>
      <c r="G42" s="83">
        <f>Pivot_Heatmap!N12</f>
        <v>19</v>
      </c>
      <c r="H42" s="83">
        <f>Pivot_Heatmap!O12</f>
        <v>25</v>
      </c>
      <c r="I42" s="83">
        <f>Pivot_Heatmap!P12</f>
        <v>0</v>
      </c>
      <c r="J42" s="83"/>
      <c r="K42" s="82">
        <f>Pivot_Heatmap!Q12</f>
        <v>122</v>
      </c>
      <c r="L42" s="81"/>
      <c r="M42" s="21"/>
      <c r="N42" s="21"/>
      <c r="O42" s="21"/>
      <c r="P42" s="21"/>
      <c r="Q42" s="21"/>
      <c r="R42" s="22"/>
      <c r="S42" s="22"/>
      <c r="T42" s="22"/>
      <c r="U42" s="22"/>
      <c r="V42" s="22"/>
      <c r="W42" s="22"/>
      <c r="X42" s="48"/>
    </row>
    <row r="43" spans="1:24" ht="34.5" customHeight="1" x14ac:dyDescent="0.35">
      <c r="A43" s="47"/>
      <c r="B43" s="64"/>
      <c r="C43" s="67" t="str">
        <f>Pivot_Heatmap!J13</f>
        <v>Casual</v>
      </c>
      <c r="D43" s="83">
        <f>Pivot_Heatmap!K13</f>
        <v>17</v>
      </c>
      <c r="E43" s="83">
        <f>Pivot_Heatmap!L13</f>
        <v>31</v>
      </c>
      <c r="F43" s="83">
        <f>Pivot_Heatmap!M13</f>
        <v>27</v>
      </c>
      <c r="G43" s="83">
        <f>Pivot_Heatmap!N13</f>
        <v>37</v>
      </c>
      <c r="H43" s="83">
        <f>Pivot_Heatmap!O13</f>
        <v>32</v>
      </c>
      <c r="I43" s="83">
        <f>Pivot_Heatmap!P13</f>
        <v>22</v>
      </c>
      <c r="J43" s="83"/>
      <c r="K43" s="82">
        <f>Pivot_Heatmap!Q13</f>
        <v>166</v>
      </c>
      <c r="L43" s="81"/>
      <c r="M43" s="21"/>
      <c r="N43" s="21"/>
      <c r="O43" s="21"/>
      <c r="P43" s="21"/>
      <c r="Q43" s="21"/>
      <c r="R43" s="22"/>
      <c r="S43" s="22"/>
      <c r="T43" s="22"/>
      <c r="U43" s="22"/>
      <c r="V43" s="22"/>
      <c r="W43" s="22"/>
      <c r="X43" s="48"/>
    </row>
    <row r="44" spans="1:24" ht="34.5" customHeight="1" x14ac:dyDescent="0.35">
      <c r="A44" s="47"/>
      <c r="B44" s="64"/>
      <c r="C44" s="67" t="str">
        <f>Pivot_Heatmap!J14</f>
        <v>Formal</v>
      </c>
      <c r="D44" s="83">
        <f>Pivot_Heatmap!K14</f>
        <v>48</v>
      </c>
      <c r="E44" s="83">
        <f>Pivot_Heatmap!L14</f>
        <v>12</v>
      </c>
      <c r="F44" s="83">
        <f>Pivot_Heatmap!M14</f>
        <v>35</v>
      </c>
      <c r="G44" s="83">
        <f>Pivot_Heatmap!N14</f>
        <v>16</v>
      </c>
      <c r="H44" s="83">
        <f>Pivot_Heatmap!O14</f>
        <v>21</v>
      </c>
      <c r="I44" s="83">
        <f>Pivot_Heatmap!P14</f>
        <v>0</v>
      </c>
      <c r="J44" s="83"/>
      <c r="K44" s="82">
        <f>Pivot_Heatmap!Q14</f>
        <v>132</v>
      </c>
      <c r="L44" s="81"/>
      <c r="M44" s="21"/>
      <c r="N44" s="21"/>
      <c r="O44" s="21"/>
      <c r="P44" s="21"/>
      <c r="Q44" s="21"/>
      <c r="R44" s="21"/>
      <c r="S44" s="21"/>
      <c r="T44" s="21"/>
      <c r="U44" s="22"/>
      <c r="V44" s="22"/>
      <c r="W44" s="22"/>
      <c r="X44" s="48"/>
    </row>
    <row r="45" spans="1:24" ht="34.5" customHeight="1" x14ac:dyDescent="0.35">
      <c r="A45" s="47"/>
      <c r="B45" s="64"/>
      <c r="C45" s="67" t="str">
        <f>Pivot_Heatmap!J15</f>
        <v>Running</v>
      </c>
      <c r="D45" s="83">
        <f>Pivot_Heatmap!K15</f>
        <v>14</v>
      </c>
      <c r="E45" s="83">
        <f>Pivot_Heatmap!L15</f>
        <v>15</v>
      </c>
      <c r="F45" s="83">
        <f>Pivot_Heatmap!M15</f>
        <v>41</v>
      </c>
      <c r="G45" s="83">
        <f>Pivot_Heatmap!N15</f>
        <v>16</v>
      </c>
      <c r="H45" s="83">
        <f>Pivot_Heatmap!O15</f>
        <v>1</v>
      </c>
      <c r="I45" s="83">
        <f>Pivot_Heatmap!P15</f>
        <v>1</v>
      </c>
      <c r="J45" s="83"/>
      <c r="K45" s="82">
        <f>Pivot_Heatmap!Q15</f>
        <v>88</v>
      </c>
      <c r="L45" s="81"/>
      <c r="M45" s="21"/>
      <c r="N45" s="21"/>
      <c r="O45" s="21"/>
      <c r="P45" s="21"/>
      <c r="Q45" s="21"/>
      <c r="R45" s="21"/>
      <c r="S45" s="22"/>
      <c r="T45" s="22"/>
      <c r="U45" s="22"/>
      <c r="V45" s="22"/>
      <c r="W45" s="22"/>
      <c r="X45" s="48"/>
    </row>
    <row r="46" spans="1:24" ht="34.5" customHeight="1" x14ac:dyDescent="0.35">
      <c r="A46" s="47"/>
      <c r="B46" s="64"/>
      <c r="C46" s="67" t="str">
        <f>Pivot_Heatmap!J16</f>
        <v>Sneakers</v>
      </c>
      <c r="D46" s="83">
        <f>Pivot_Heatmap!K16</f>
        <v>39</v>
      </c>
      <c r="E46" s="83">
        <f>Pivot_Heatmap!L16</f>
        <v>38</v>
      </c>
      <c r="F46" s="83">
        <f>Pivot_Heatmap!M16</f>
        <v>17</v>
      </c>
      <c r="G46" s="83">
        <f>Pivot_Heatmap!N16</f>
        <v>38</v>
      </c>
      <c r="H46" s="83">
        <f>Pivot_Heatmap!O16</f>
        <v>25</v>
      </c>
      <c r="I46" s="83">
        <f>Pivot_Heatmap!P16</f>
        <v>15</v>
      </c>
      <c r="J46" s="83"/>
      <c r="K46" s="82">
        <f>Pivot_Heatmap!Q16</f>
        <v>172</v>
      </c>
      <c r="L46" s="81"/>
      <c r="M46" s="21"/>
      <c r="N46" s="21"/>
      <c r="O46" s="21"/>
      <c r="P46" s="21"/>
      <c r="Q46" s="21"/>
      <c r="R46" s="21"/>
      <c r="S46" s="22"/>
      <c r="T46" s="22"/>
      <c r="U46" s="22"/>
      <c r="V46" s="22"/>
      <c r="W46" s="22"/>
      <c r="X46" s="48"/>
    </row>
    <row r="47" spans="1:24" ht="34.5" customHeight="1" x14ac:dyDescent="0.35">
      <c r="A47" s="47"/>
      <c r="B47" s="64"/>
      <c r="C47" s="67" t="str">
        <f>Pivot_Heatmap!J17</f>
        <v>Sports</v>
      </c>
      <c r="D47" s="83">
        <f>Pivot_Heatmap!K17</f>
        <v>10</v>
      </c>
      <c r="E47" s="83">
        <f>Pivot_Heatmap!L17</f>
        <v>20</v>
      </c>
      <c r="F47" s="83">
        <f>Pivot_Heatmap!M17</f>
        <v>16</v>
      </c>
      <c r="G47" s="83">
        <f>Pivot_Heatmap!N17</f>
        <v>18</v>
      </c>
      <c r="H47" s="83">
        <f>Pivot_Heatmap!O17</f>
        <v>0</v>
      </c>
      <c r="I47" s="83">
        <f>Pivot_Heatmap!P17</f>
        <v>8</v>
      </c>
      <c r="J47" s="83"/>
      <c r="K47" s="82">
        <f>Pivot_Heatmap!Q17</f>
        <v>72</v>
      </c>
      <c r="L47" s="81"/>
      <c r="M47" s="21"/>
      <c r="N47" s="21"/>
      <c r="O47" s="21"/>
      <c r="P47" s="21"/>
      <c r="Q47" s="21"/>
      <c r="R47" s="21"/>
      <c r="S47" s="22"/>
      <c r="T47" s="22"/>
      <c r="U47" s="22"/>
      <c r="V47" s="22"/>
      <c r="W47" s="22"/>
      <c r="X47" s="48"/>
    </row>
    <row r="48" spans="1:24" ht="10.5" customHeight="1" x14ac:dyDescent="0.25">
      <c r="A48" s="47"/>
      <c r="B48" s="80"/>
      <c r="C48" s="80"/>
      <c r="D48" s="80"/>
      <c r="E48" s="80"/>
      <c r="F48" s="80"/>
      <c r="G48" s="80"/>
      <c r="H48" s="80"/>
      <c r="I48" s="80"/>
      <c r="J48" s="80"/>
      <c r="K48" s="80"/>
      <c r="L48" s="80"/>
      <c r="M48" s="21"/>
      <c r="N48" s="21"/>
      <c r="O48" s="21"/>
      <c r="P48" s="21"/>
      <c r="Q48" s="21"/>
      <c r="R48" s="21"/>
      <c r="S48" s="22"/>
      <c r="T48" s="22"/>
      <c r="U48" s="22"/>
      <c r="V48" s="22"/>
      <c r="W48" s="22"/>
      <c r="X48" s="48"/>
    </row>
    <row r="49" spans="1:24" x14ac:dyDescent="0.25">
      <c r="A49" s="47"/>
      <c r="B49" s="21"/>
      <c r="C49" s="21"/>
      <c r="D49" s="21"/>
      <c r="E49" s="21"/>
      <c r="F49" s="21"/>
      <c r="G49" s="21"/>
      <c r="H49" s="21"/>
      <c r="I49" s="21"/>
      <c r="J49" s="21"/>
      <c r="K49" s="21"/>
      <c r="L49" s="21"/>
      <c r="M49" s="21"/>
      <c r="N49" s="21"/>
      <c r="O49" s="21"/>
      <c r="P49" s="21"/>
      <c r="Q49" s="21"/>
      <c r="R49" s="21"/>
      <c r="S49" s="22"/>
      <c r="T49" s="22"/>
      <c r="U49" s="22"/>
      <c r="V49" s="22"/>
      <c r="W49" s="22"/>
      <c r="X49" s="48"/>
    </row>
    <row r="50" spans="1:24" x14ac:dyDescent="0.25">
      <c r="A50" s="47"/>
      <c r="B50" s="21"/>
      <c r="C50" s="21"/>
      <c r="D50" s="21"/>
      <c r="E50" s="21"/>
      <c r="F50" s="21"/>
      <c r="G50" s="21"/>
      <c r="H50" s="21"/>
      <c r="I50" s="21"/>
      <c r="J50" s="21"/>
      <c r="K50" s="21"/>
      <c r="L50" s="21"/>
      <c r="M50" s="21"/>
      <c r="N50" s="21"/>
      <c r="O50" s="21"/>
      <c r="P50" s="21"/>
      <c r="Q50" s="21"/>
      <c r="R50" s="21"/>
      <c r="S50" s="22"/>
      <c r="T50" s="22"/>
      <c r="U50" s="22"/>
      <c r="V50" s="22"/>
      <c r="W50" s="22"/>
      <c r="X50" s="48"/>
    </row>
    <row r="51" spans="1:24" x14ac:dyDescent="0.25">
      <c r="A51" s="47"/>
      <c r="B51" s="21"/>
      <c r="C51" s="21"/>
      <c r="D51" s="21"/>
      <c r="E51" s="22"/>
      <c r="F51" s="22"/>
      <c r="G51" s="22"/>
      <c r="H51" s="22"/>
      <c r="I51" s="22"/>
      <c r="J51" s="22"/>
      <c r="K51" s="22"/>
      <c r="L51" s="22"/>
      <c r="M51" s="21"/>
      <c r="N51" s="21"/>
      <c r="O51" s="21"/>
      <c r="P51" s="21"/>
      <c r="Q51" s="21"/>
      <c r="R51" s="21"/>
      <c r="S51" s="22"/>
      <c r="T51" s="22"/>
      <c r="U51" s="22"/>
      <c r="V51" s="22"/>
      <c r="W51" s="22"/>
      <c r="X51" s="48"/>
    </row>
    <row r="52" spans="1:24" ht="37.5" customHeight="1" x14ac:dyDescent="0.25">
      <c r="A52" s="49"/>
      <c r="B52" s="53"/>
      <c r="C52" s="53"/>
      <c r="D52" s="53"/>
      <c r="E52" s="50"/>
      <c r="F52" s="50"/>
      <c r="G52" s="50"/>
      <c r="H52" s="50"/>
      <c r="I52" s="50"/>
      <c r="J52" s="50"/>
      <c r="K52" s="50"/>
      <c r="L52" s="50"/>
      <c r="M52" s="53"/>
      <c r="N52" s="53"/>
      <c r="O52" s="53"/>
      <c r="P52" s="53"/>
      <c r="Q52" s="53"/>
      <c r="R52" s="53"/>
      <c r="S52" s="50"/>
      <c r="T52" s="50"/>
      <c r="U52" s="50"/>
      <c r="V52" s="50"/>
      <c r="W52" s="50"/>
      <c r="X52" s="51"/>
    </row>
    <row r="53" spans="1:24" x14ac:dyDescent="0.25">
      <c r="E53" s="43"/>
      <c r="F53"/>
      <c r="G53"/>
      <c r="H53"/>
      <c r="I53"/>
      <c r="J53"/>
      <c r="K53"/>
      <c r="L53"/>
    </row>
    <row r="54" spans="1:24" x14ac:dyDescent="0.25">
      <c r="E54" s="43"/>
      <c r="F54"/>
      <c r="G54"/>
      <c r="H54"/>
      <c r="I54"/>
      <c r="J54"/>
      <c r="K54"/>
      <c r="L54"/>
    </row>
    <row r="55" spans="1:24" x14ac:dyDescent="0.25">
      <c r="E55" s="43"/>
    </row>
    <row r="56" spans="1:24" x14ac:dyDescent="0.25">
      <c r="E56" s="43"/>
    </row>
    <row r="57" spans="1:24" x14ac:dyDescent="0.25">
      <c r="E57" s="43"/>
    </row>
    <row r="58" spans="1:24" x14ac:dyDescent="0.25">
      <c r="E58" s="43"/>
    </row>
    <row r="59" spans="1:24" x14ac:dyDescent="0.25">
      <c r="E59" s="43"/>
    </row>
    <row r="60" spans="1:24" x14ac:dyDescent="0.25">
      <c r="E60" s="43"/>
    </row>
    <row r="61" spans="1:24" x14ac:dyDescent="0.25">
      <c r="E61" s="43"/>
    </row>
    <row r="62" spans="1:24" x14ac:dyDescent="0.25">
      <c r="E62" s="43"/>
    </row>
    <row r="63" spans="1:24" x14ac:dyDescent="0.25">
      <c r="E63" s="43"/>
    </row>
    <row r="64" spans="1:24" x14ac:dyDescent="0.25">
      <c r="E64" s="43"/>
      <c r="F64"/>
      <c r="G64"/>
      <c r="H64"/>
      <c r="I64"/>
      <c r="J64"/>
      <c r="K64"/>
      <c r="L64"/>
    </row>
    <row r="65" spans="5:12" x14ac:dyDescent="0.25">
      <c r="E65" s="43"/>
      <c r="F65"/>
      <c r="G65"/>
      <c r="H65"/>
      <c r="I65"/>
      <c r="J65"/>
      <c r="K65"/>
      <c r="L65"/>
    </row>
    <row r="66" spans="5:12" x14ac:dyDescent="0.25">
      <c r="E66" s="43"/>
      <c r="F66"/>
    </row>
    <row r="67" spans="5:12" x14ac:dyDescent="0.25">
      <c r="E67" s="43"/>
      <c r="F67"/>
    </row>
    <row r="68" spans="5:12" x14ac:dyDescent="0.25">
      <c r="E68" s="43"/>
      <c r="F68"/>
    </row>
    <row r="69" spans="5:12" x14ac:dyDescent="0.25">
      <c r="E69" s="43"/>
      <c r="F69"/>
    </row>
    <row r="70" spans="5:12" x14ac:dyDescent="0.25">
      <c r="E70" s="43"/>
      <c r="F70"/>
    </row>
    <row r="71" spans="5:12" x14ac:dyDescent="0.25">
      <c r="E71" s="43"/>
      <c r="F71"/>
    </row>
    <row r="72" spans="5:12" x14ac:dyDescent="0.25">
      <c r="E72" s="43"/>
      <c r="F72"/>
    </row>
    <row r="73" spans="5:12" x14ac:dyDescent="0.25">
      <c r="E73" s="43"/>
      <c r="F73"/>
    </row>
    <row r="74" spans="5:12" x14ac:dyDescent="0.25">
      <c r="E74" s="43"/>
      <c r="F74"/>
    </row>
    <row r="75" spans="5:12" x14ac:dyDescent="0.25">
      <c r="E75" s="43"/>
      <c r="F75"/>
    </row>
  </sheetData>
  <mergeCells count="8">
    <mergeCell ref="L28:N28"/>
    <mergeCell ref="Q28:U28"/>
    <mergeCell ref="M39:P39"/>
    <mergeCell ref="R39:U39"/>
    <mergeCell ref="B30:C30"/>
    <mergeCell ref="B41:C41"/>
    <mergeCell ref="B28:G28"/>
    <mergeCell ref="A1:B1"/>
  </mergeCells>
  <conditionalFormatting sqref="S40:T40">
    <cfRule type="colorScale" priority="29">
      <colorScale>
        <cfvo type="min"/>
        <cfvo type="percentile" val="50"/>
        <cfvo type="max"/>
        <color theme="4" tint="0.39997558519241921"/>
        <color theme="4" tint="-0.249977111117893"/>
        <color theme="3" tint="-0.499984740745262"/>
      </colorScale>
    </cfRule>
  </conditionalFormatting>
  <conditionalFormatting sqref="D31:L37">
    <cfRule type="colorScale" priority="14">
      <colorScale>
        <cfvo type="min"/>
        <cfvo type="max"/>
        <color theme="4" tint="0.79998168889431442"/>
        <color theme="3" tint="-0.499984740745262"/>
      </colorScale>
    </cfRule>
  </conditionalFormatting>
  <conditionalFormatting sqref="J42:J47">
    <cfRule type="colorScale" priority="4">
      <colorScale>
        <cfvo type="min"/>
        <cfvo type="max"/>
        <color theme="3" tint="-0.499984740745262"/>
        <color theme="4" tint="0.79998168889431442"/>
      </colorScale>
    </cfRule>
  </conditionalFormatting>
  <conditionalFormatting sqref="D42:I47">
    <cfRule type="colorScale" priority="3">
      <colorScale>
        <cfvo type="min"/>
        <cfvo type="max"/>
        <color theme="4" tint="0.59999389629810485"/>
        <color theme="3" tint="-0.499984740745262"/>
      </colorScale>
    </cfRule>
  </conditionalFormatting>
  <conditionalFormatting sqref="K42:L47">
    <cfRule type="colorScale" priority="1">
      <colorScale>
        <cfvo type="min"/>
        <cfvo type="max"/>
        <color theme="4" tint="0.79998168889431442"/>
        <color theme="3" tint="-0.499984740745262"/>
      </colorScale>
    </cfRule>
  </conditionalFormatting>
  <printOptions horizontalCentered="1" verticalCentered="1"/>
  <pageMargins left="0.25" right="0.25" top="0.75" bottom="0.75" header="0.3" footer="0.3"/>
  <pageSetup paperSize="3" scale="57" orientation="landscape"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3" tint="0.39997558519241921"/>
  </sheetPr>
  <dimension ref="B2:F21"/>
  <sheetViews>
    <sheetView zoomScale="80" zoomScaleNormal="80" workbookViewId="0">
      <selection activeCell="D21" sqref="D21"/>
    </sheetView>
  </sheetViews>
  <sheetFormatPr defaultRowHeight="15" x14ac:dyDescent="0.25"/>
  <cols>
    <col min="2" max="2" width="14.140625" bestFit="1" customWidth="1"/>
    <col min="3" max="3" width="21" bestFit="1" customWidth="1"/>
    <col min="4" max="4" width="11" customWidth="1"/>
    <col min="5" max="5" width="13.42578125" customWidth="1"/>
  </cols>
  <sheetData>
    <row r="2" spans="2:5" x14ac:dyDescent="0.25">
      <c r="B2" t="s">
        <v>563</v>
      </c>
    </row>
    <row r="3" spans="2:5" x14ac:dyDescent="0.25">
      <c r="B3" s="14" t="s">
        <v>548</v>
      </c>
      <c r="C3" t="s">
        <v>547</v>
      </c>
      <c r="D3" t="s">
        <v>565</v>
      </c>
    </row>
    <row r="4" spans="2:5" x14ac:dyDescent="0.25">
      <c r="B4" s="15" t="s">
        <v>549</v>
      </c>
      <c r="C4" s="18">
        <v>102989.92000000003</v>
      </c>
    </row>
    <row r="5" spans="2:5" x14ac:dyDescent="0.25">
      <c r="B5" s="15" t="s">
        <v>557</v>
      </c>
      <c r="C5" s="18">
        <v>128723.41999999995</v>
      </c>
      <c r="D5" s="27">
        <f t="shared" ref="D5:D15" si="0">(C5-C4)/C4</f>
        <v>0.24986425856044864</v>
      </c>
      <c r="E5" s="27"/>
    </row>
    <row r="6" spans="2:5" x14ac:dyDescent="0.25">
      <c r="B6" s="15" t="s">
        <v>550</v>
      </c>
      <c r="C6" s="18">
        <v>118450.73999999999</v>
      </c>
      <c r="D6" s="27">
        <f t="shared" si="0"/>
        <v>-7.9804281147905859E-2</v>
      </c>
      <c r="E6" s="18"/>
    </row>
    <row r="7" spans="2:5" x14ac:dyDescent="0.25">
      <c r="B7" s="15" t="s">
        <v>558</v>
      </c>
      <c r="C7" s="18">
        <v>115753.37</v>
      </c>
      <c r="D7" s="27">
        <f t="shared" si="0"/>
        <v>-2.2772082301891872E-2</v>
      </c>
    </row>
    <row r="8" spans="2:5" x14ac:dyDescent="0.25">
      <c r="B8" s="15" t="s">
        <v>559</v>
      </c>
      <c r="C8" s="18">
        <v>125637.77999999998</v>
      </c>
      <c r="D8" s="27">
        <f t="shared" si="0"/>
        <v>8.5391984699883808E-2</v>
      </c>
    </row>
    <row r="9" spans="2:5" x14ac:dyDescent="0.25">
      <c r="B9" s="15" t="s">
        <v>551</v>
      </c>
      <c r="C9" s="18">
        <v>126802.88</v>
      </c>
      <c r="D9" s="27">
        <f t="shared" si="0"/>
        <v>9.2734844566659848E-3</v>
      </c>
    </row>
    <row r="10" spans="2:5" x14ac:dyDescent="0.25">
      <c r="B10" s="15" t="s">
        <v>560</v>
      </c>
      <c r="C10" s="18">
        <v>140198.13</v>
      </c>
      <c r="D10" s="27">
        <f t="shared" si="0"/>
        <v>0.10563837351328298</v>
      </c>
    </row>
    <row r="11" spans="2:5" x14ac:dyDescent="0.25">
      <c r="B11" s="15" t="s">
        <v>554</v>
      </c>
      <c r="C11" s="18">
        <v>96240.749999999985</v>
      </c>
      <c r="D11" s="27">
        <f t="shared" si="0"/>
        <v>-0.31353756287619539</v>
      </c>
    </row>
    <row r="12" spans="2:5" x14ac:dyDescent="0.25">
      <c r="B12" s="15" t="s">
        <v>561</v>
      </c>
      <c r="C12" s="18">
        <v>98831.169999999955</v>
      </c>
      <c r="D12" s="27">
        <f t="shared" si="0"/>
        <v>2.6916041281889111E-2</v>
      </c>
    </row>
    <row r="13" spans="2:5" x14ac:dyDescent="0.25">
      <c r="B13" s="15" t="s">
        <v>555</v>
      </c>
      <c r="C13" s="18">
        <v>146726.46000000002</v>
      </c>
      <c r="D13" s="27">
        <f t="shared" si="0"/>
        <v>0.48461725182450122</v>
      </c>
    </row>
    <row r="14" spans="2:5" x14ac:dyDescent="0.25">
      <c r="B14" s="15" t="s">
        <v>562</v>
      </c>
      <c r="C14" s="18">
        <v>131542.52999999994</v>
      </c>
      <c r="D14" s="27">
        <f t="shared" si="0"/>
        <v>-0.10348460666194821</v>
      </c>
    </row>
    <row r="15" spans="2:5" x14ac:dyDescent="0.25">
      <c r="B15" s="15" t="s">
        <v>556</v>
      </c>
      <c r="C15" s="18">
        <v>127951.48000000003</v>
      </c>
      <c r="D15" s="27">
        <f t="shared" si="0"/>
        <v>-2.7299535747107168E-2</v>
      </c>
    </row>
    <row r="16" spans="2:5" x14ac:dyDescent="0.25">
      <c r="B16" s="15" t="s">
        <v>552</v>
      </c>
      <c r="C16" s="18">
        <v>1459848.63</v>
      </c>
    </row>
    <row r="18" spans="2:6" x14ac:dyDescent="0.25">
      <c r="B18" s="15" t="s">
        <v>564</v>
      </c>
    </row>
    <row r="19" spans="2:6" x14ac:dyDescent="0.25">
      <c r="B19" s="14" t="s">
        <v>548</v>
      </c>
      <c r="C19" t="s">
        <v>547</v>
      </c>
    </row>
    <row r="20" spans="2:6" x14ac:dyDescent="0.25">
      <c r="B20" s="15" t="s">
        <v>561</v>
      </c>
      <c r="C20" s="18">
        <v>98831.170000000013</v>
      </c>
      <c r="D20" s="28">
        <f>VLOOKUP(B20,$B$4:$D$15,3,FALSE)</f>
        <v>2.6916041281889111E-2</v>
      </c>
      <c r="E20" s="29" t="str">
        <f>IF(D20&gt;=0, "▲ "&amp;TEXT(D20,"0,00%"), "▼ "&amp;TEXT(ABS(D20),"0,00%"))</f>
        <v>▲ 2,69%</v>
      </c>
      <c r="F20" s="28"/>
    </row>
    <row r="21" spans="2:6" x14ac:dyDescent="0.25">
      <c r="B21" s="15" t="s">
        <v>552</v>
      </c>
      <c r="C21" s="18">
        <v>98831.170000000013</v>
      </c>
    </row>
  </sheetData>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iconSet" priority="7" id="{6FC9191F-047B-491E-B612-3B66C9EA67FE}">
            <x14:iconSet iconSet="3Triangles" custom="1">
              <x14:cfvo type="percent">
                <xm:f>0</xm:f>
              </x14:cfvo>
              <x14:cfvo type="percent">
                <xm:f>33</xm:f>
              </x14:cfvo>
              <x14:cfvo type="percent">
                <xm:f>67</xm:f>
              </x14:cfvo>
              <x14:cfIcon iconSet="3Triangles" iconId="0"/>
              <x14:cfIcon iconSet="3Triangles" iconId="2"/>
              <x14:cfIcon iconSet="3Triangles" iconId="2"/>
            </x14:iconSet>
          </x14:cfRule>
          <xm:sqref>D4:D15</xm:sqref>
        </x14:conditionalFormatting>
        <x14:conditionalFormatting xmlns:xm="http://schemas.microsoft.com/office/excel/2006/main">
          <x14:cfRule type="iconSet" priority="1" id="{AFBEE4E0-0687-4EC3-95F0-6DA22A72B4F0}">
            <x14:iconSet iconSet="3Triangles">
              <x14:cfvo type="percent">
                <xm:f>0</xm:f>
              </x14:cfvo>
              <x14:cfvo type="percent">
                <xm:f>33</xm:f>
              </x14:cfvo>
              <x14:cfvo type="percent">
                <xm:f>67</xm:f>
              </x14:cfvo>
            </x14:iconSet>
          </x14:cfRule>
          <xm:sqref>F20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39997558519241921"/>
  </sheetPr>
  <dimension ref="A1:Q31"/>
  <sheetViews>
    <sheetView zoomScale="80" zoomScaleNormal="80" workbookViewId="0">
      <selection activeCell="I28" sqref="I28"/>
    </sheetView>
  </sheetViews>
  <sheetFormatPr defaultRowHeight="15" x14ac:dyDescent="0.25"/>
  <cols>
    <col min="1" max="1" width="20.42578125" customWidth="1"/>
    <col min="2" max="8" width="11.85546875" customWidth="1"/>
    <col min="10" max="10" width="12.42578125" customWidth="1"/>
    <col min="11" max="16" width="10.7109375" customWidth="1"/>
    <col min="17" max="17" width="12.140625" customWidth="1"/>
  </cols>
  <sheetData>
    <row r="1" spans="1:17" x14ac:dyDescent="0.25">
      <c r="A1" s="14" t="s">
        <v>553</v>
      </c>
      <c r="B1" s="14" t="s">
        <v>1068</v>
      </c>
      <c r="J1" s="14" t="s">
        <v>553</v>
      </c>
      <c r="K1" s="14" t="s">
        <v>1068</v>
      </c>
    </row>
    <row r="2" spans="1:17" x14ac:dyDescent="0.25">
      <c r="A2" s="14" t="s">
        <v>2</v>
      </c>
      <c r="B2" t="s">
        <v>12</v>
      </c>
      <c r="C2" t="s">
        <v>26</v>
      </c>
      <c r="D2" t="s">
        <v>31</v>
      </c>
      <c r="E2" t="s">
        <v>22</v>
      </c>
      <c r="F2" t="s">
        <v>55</v>
      </c>
      <c r="G2" t="s">
        <v>35</v>
      </c>
      <c r="H2" t="s">
        <v>552</v>
      </c>
      <c r="J2" s="14" t="s">
        <v>2</v>
      </c>
      <c r="K2" t="s">
        <v>45</v>
      </c>
      <c r="L2" t="s">
        <v>13</v>
      </c>
      <c r="M2" t="s">
        <v>27</v>
      </c>
      <c r="N2" t="s">
        <v>18</v>
      </c>
      <c r="O2" t="s">
        <v>41</v>
      </c>
      <c r="P2" t="s">
        <v>23</v>
      </c>
      <c r="Q2" t="s">
        <v>552</v>
      </c>
    </row>
    <row r="3" spans="1:17" x14ac:dyDescent="0.25">
      <c r="A3" s="17" t="s">
        <v>30</v>
      </c>
      <c r="B3" s="19">
        <v>36</v>
      </c>
      <c r="C3" s="19">
        <v>21</v>
      </c>
      <c r="D3" s="19"/>
      <c r="E3" s="19">
        <v>14</v>
      </c>
      <c r="F3" s="19">
        <v>27</v>
      </c>
      <c r="G3" s="19">
        <v>30</v>
      </c>
      <c r="H3" s="19">
        <v>128</v>
      </c>
      <c r="J3" s="17" t="s">
        <v>12</v>
      </c>
      <c r="K3" s="19">
        <v>23</v>
      </c>
      <c r="L3" s="19">
        <v>25</v>
      </c>
      <c r="M3" s="19">
        <v>30</v>
      </c>
      <c r="N3" s="19">
        <v>19</v>
      </c>
      <c r="O3" s="19">
        <v>25</v>
      </c>
      <c r="P3" s="19"/>
      <c r="Q3" s="19">
        <v>122</v>
      </c>
    </row>
    <row r="4" spans="1:17" x14ac:dyDescent="0.25">
      <c r="A4" s="17" t="s">
        <v>25</v>
      </c>
      <c r="B4" s="19">
        <v>25</v>
      </c>
      <c r="C4" s="19">
        <v>54</v>
      </c>
      <c r="D4" s="19">
        <v>22</v>
      </c>
      <c r="E4" s="19">
        <v>47</v>
      </c>
      <c r="F4" s="19">
        <v>21</v>
      </c>
      <c r="G4" s="19">
        <v>11</v>
      </c>
      <c r="H4" s="19">
        <v>180</v>
      </c>
      <c r="J4" s="17" t="s">
        <v>26</v>
      </c>
      <c r="K4" s="19">
        <v>17</v>
      </c>
      <c r="L4" s="19">
        <v>31</v>
      </c>
      <c r="M4" s="19">
        <v>27</v>
      </c>
      <c r="N4" s="19">
        <v>37</v>
      </c>
      <c r="O4" s="19">
        <v>32</v>
      </c>
      <c r="P4" s="19">
        <v>22</v>
      </c>
      <c r="Q4" s="19">
        <v>166</v>
      </c>
    </row>
    <row r="5" spans="1:17" x14ac:dyDescent="0.25">
      <c r="A5" s="17" t="s">
        <v>11</v>
      </c>
      <c r="B5" s="19">
        <v>26</v>
      </c>
      <c r="C5" s="19">
        <v>12</v>
      </c>
      <c r="D5" s="19">
        <v>27</v>
      </c>
      <c r="E5" s="19">
        <v>16</v>
      </c>
      <c r="F5" s="19">
        <v>46</v>
      </c>
      <c r="G5" s="19"/>
      <c r="H5" s="19">
        <v>127</v>
      </c>
      <c r="J5" s="17" t="s">
        <v>31</v>
      </c>
      <c r="K5" s="19">
        <v>48</v>
      </c>
      <c r="L5" s="19">
        <v>12</v>
      </c>
      <c r="M5" s="19">
        <v>35</v>
      </c>
      <c r="N5" s="19">
        <v>16</v>
      </c>
      <c r="O5" s="19">
        <v>21</v>
      </c>
      <c r="P5" s="19"/>
      <c r="Q5" s="19">
        <v>132</v>
      </c>
    </row>
    <row r="6" spans="1:17" x14ac:dyDescent="0.25">
      <c r="A6" s="17" t="s">
        <v>34</v>
      </c>
      <c r="B6" s="19">
        <v>7</v>
      </c>
      <c r="C6" s="19">
        <v>11</v>
      </c>
      <c r="D6" s="19">
        <v>40</v>
      </c>
      <c r="E6" s="19"/>
      <c r="F6" s="19">
        <v>25</v>
      </c>
      <c r="G6" s="19">
        <v>7</v>
      </c>
      <c r="H6" s="19">
        <v>90</v>
      </c>
      <c r="J6" s="17" t="s">
        <v>22</v>
      </c>
      <c r="K6" s="19">
        <v>14</v>
      </c>
      <c r="L6" s="19">
        <v>15</v>
      </c>
      <c r="M6" s="19">
        <v>41</v>
      </c>
      <c r="N6" s="19">
        <v>16</v>
      </c>
      <c r="O6" s="19">
        <v>1</v>
      </c>
      <c r="P6" s="19">
        <v>1</v>
      </c>
      <c r="Q6" s="19">
        <v>88</v>
      </c>
    </row>
    <row r="7" spans="1:17" x14ac:dyDescent="0.25">
      <c r="A7" s="17" t="s">
        <v>38</v>
      </c>
      <c r="B7" s="19">
        <v>16</v>
      </c>
      <c r="C7" s="19">
        <v>51</v>
      </c>
      <c r="D7" s="19">
        <v>22</v>
      </c>
      <c r="E7" s="19"/>
      <c r="F7" s="19">
        <v>17</v>
      </c>
      <c r="G7" s="19">
        <v>24</v>
      </c>
      <c r="H7" s="19">
        <v>130</v>
      </c>
      <c r="J7" s="17" t="s">
        <v>55</v>
      </c>
      <c r="K7" s="19">
        <v>39</v>
      </c>
      <c r="L7" s="19">
        <v>38</v>
      </c>
      <c r="M7" s="19">
        <v>17</v>
      </c>
      <c r="N7" s="19">
        <v>38</v>
      </c>
      <c r="O7" s="19">
        <v>25</v>
      </c>
      <c r="P7" s="19">
        <v>15</v>
      </c>
      <c r="Q7" s="19">
        <v>172</v>
      </c>
    </row>
    <row r="8" spans="1:17" x14ac:dyDescent="0.25">
      <c r="A8" s="17" t="s">
        <v>17</v>
      </c>
      <c r="B8" s="19">
        <v>12</v>
      </c>
      <c r="C8" s="19">
        <v>17</v>
      </c>
      <c r="D8" s="19">
        <v>21</v>
      </c>
      <c r="E8" s="19">
        <v>11</v>
      </c>
      <c r="F8" s="19">
        <v>36</v>
      </c>
      <c r="G8" s="19"/>
      <c r="H8" s="19">
        <v>97</v>
      </c>
      <c r="J8" s="17" t="s">
        <v>35</v>
      </c>
      <c r="K8" s="19">
        <v>10</v>
      </c>
      <c r="L8" s="19">
        <v>20</v>
      </c>
      <c r="M8" s="19">
        <v>16</v>
      </c>
      <c r="N8" s="19">
        <v>18</v>
      </c>
      <c r="O8" s="19"/>
      <c r="P8" s="19">
        <v>8</v>
      </c>
      <c r="Q8" s="19">
        <v>72</v>
      </c>
    </row>
    <row r="9" spans="1:17" x14ac:dyDescent="0.25">
      <c r="A9" s="17"/>
      <c r="B9" s="19"/>
      <c r="C9" s="19"/>
      <c r="D9" s="19"/>
      <c r="E9" s="19"/>
      <c r="F9" s="19"/>
      <c r="G9" s="19"/>
      <c r="H9" s="19"/>
      <c r="L9" s="19"/>
      <c r="M9" s="19"/>
      <c r="N9" s="19"/>
      <c r="O9" s="19"/>
      <c r="P9" s="19"/>
    </row>
    <row r="10" spans="1:17" x14ac:dyDescent="0.25">
      <c r="L10" s="19"/>
      <c r="M10" s="19"/>
      <c r="N10" s="19"/>
      <c r="O10" s="19"/>
      <c r="P10" s="19"/>
    </row>
    <row r="11" spans="1:17" x14ac:dyDescent="0.25">
      <c r="A11" s="84"/>
      <c r="B11" s="84" t="s">
        <v>12</v>
      </c>
      <c r="C11" s="84" t="s">
        <v>26</v>
      </c>
      <c r="D11" s="84" t="s">
        <v>31</v>
      </c>
      <c r="E11" s="84" t="s">
        <v>22</v>
      </c>
      <c r="F11" s="84" t="s">
        <v>55</v>
      </c>
      <c r="G11" s="84" t="s">
        <v>35</v>
      </c>
      <c r="H11" s="84" t="s">
        <v>1072</v>
      </c>
      <c r="J11" s="84"/>
      <c r="K11" s="88" t="s">
        <v>45</v>
      </c>
      <c r="L11" s="86" t="s">
        <v>13</v>
      </c>
      <c r="M11" s="86" t="s">
        <v>27</v>
      </c>
      <c r="N11" s="86" t="s">
        <v>18</v>
      </c>
      <c r="O11" s="86" t="s">
        <v>41</v>
      </c>
      <c r="P11" s="86" t="s">
        <v>23</v>
      </c>
      <c r="Q11" s="88" t="s">
        <v>552</v>
      </c>
    </row>
    <row r="12" spans="1:17" x14ac:dyDescent="0.25">
      <c r="A12" s="85" t="s">
        <v>30</v>
      </c>
      <c r="B12" s="86">
        <f>IFERROR(VLOOKUP(A12,$A$3:$G$8,MATCH($B$11,$A$2:$G$2,0),FALSE),0)</f>
        <v>36</v>
      </c>
      <c r="C12" s="86">
        <f>IFERROR(VLOOKUP(A12,$A$3:$G$8,MATCH($C$11,$A$2:$G$2,0),FALSE),0)</f>
        <v>21</v>
      </c>
      <c r="D12" s="86">
        <f>IFERROR(VLOOKUP(A12,$A$3:$G$8,MATCH($D$11,$A$2:$G$2,0),FALSE),0)</f>
        <v>0</v>
      </c>
      <c r="E12" s="86">
        <f>IFERROR(VLOOKUP(A12,$A$3:$G$8,MATCH($E$11,$A$2:$G$2,0),FALSE),0)</f>
        <v>14</v>
      </c>
      <c r="F12" s="86">
        <f>IFERROR(VLOOKUP(A12,$A$3:$G$8,MATCH($F$11,$A$2:$G$2,0),FALSE),0)</f>
        <v>27</v>
      </c>
      <c r="G12" s="86">
        <f>IFERROR(VLOOKUP(A12,$A$3:$G$8,MATCH($G$11,$A$2:$G$2,0),FALSE),0)</f>
        <v>30</v>
      </c>
      <c r="H12" s="87">
        <f>SUM(B12:G12)</f>
        <v>128</v>
      </c>
      <c r="J12" s="85" t="s">
        <v>12</v>
      </c>
      <c r="K12" s="84">
        <f>IFERROR(VLOOKUP(J12,$J$3:$Q$8,MATCH($K$11,$J$2:$Q$2,0),FALSE),0)</f>
        <v>23</v>
      </c>
      <c r="L12" s="84">
        <f>IFERROR(VLOOKUP(J12,$J$3:$Q$8,MATCH($L$11,$J$2:$Q$2,0),FALSE),0)</f>
        <v>25</v>
      </c>
      <c r="M12" s="84">
        <f>IFERROR(VLOOKUP(J12,$J$3:$Q$8,MATCH($M$11,$J$2:$Q$2,0),FALSE),0)</f>
        <v>30</v>
      </c>
      <c r="N12" s="84">
        <f>IFERROR(VLOOKUP(J12,$J$3:$Q$8,MATCH($N$11,$J$2:$Q$2,0),FALSE),0)</f>
        <v>19</v>
      </c>
      <c r="O12" s="84">
        <f>IFERROR(VLOOKUP(J12,$J$3:$Q$8,MATCH($O$11,$J$2:$Q$2,0),FALSE),0)</f>
        <v>25</v>
      </c>
      <c r="P12" s="84">
        <f>IFERROR(VLOOKUP(J12,$J$3:$Q$8,MATCH($P$11,$J$2:$Q$2,0),FALSE),0)</f>
        <v>0</v>
      </c>
      <c r="Q12" s="84">
        <f>SUM(K12:P12)</f>
        <v>122</v>
      </c>
    </row>
    <row r="13" spans="1:17" x14ac:dyDescent="0.25">
      <c r="A13" s="85" t="s">
        <v>25</v>
      </c>
      <c r="B13" s="86">
        <f>IFERROR(VLOOKUP(A13,$A$3:$G$8,MATCH($B$11,$A$2:$G$2,0),FALSE),0)</f>
        <v>25</v>
      </c>
      <c r="C13" s="86">
        <f t="shared" ref="C13:C17" si="0">IFERROR(VLOOKUP(A13,$A$3:$G$8,MATCH($C$11,$A$2:$G$2,0),FALSE),0)</f>
        <v>54</v>
      </c>
      <c r="D13" s="86">
        <f t="shared" ref="D13:D17" si="1">IFERROR(VLOOKUP(A13,$A$3:$G$8,MATCH($D$11,$A$2:$G$2,0),FALSE),0)</f>
        <v>22</v>
      </c>
      <c r="E13" s="86">
        <f t="shared" ref="E13:E17" si="2">IFERROR(VLOOKUP(A13,$A$3:$G$8,MATCH($E$11,$A$2:$G$2,0),FALSE),0)</f>
        <v>47</v>
      </c>
      <c r="F13" s="86">
        <f t="shared" ref="F13:F17" si="3">IFERROR(VLOOKUP(A13,$A$3:$G$8,MATCH($F$11,$A$2:$G$2,0),FALSE),0)</f>
        <v>21</v>
      </c>
      <c r="G13" s="86">
        <f t="shared" ref="G13:G17" si="4">IFERROR(VLOOKUP(A13,$A$3:$G$8,MATCH($G$11,$A$2:$G$2,0),FALSE),0)</f>
        <v>11</v>
      </c>
      <c r="H13" s="87">
        <f t="shared" ref="H13:H17" si="5">SUM(B13:G13)</f>
        <v>180</v>
      </c>
      <c r="J13" s="85" t="s">
        <v>26</v>
      </c>
      <c r="K13" s="84">
        <f t="shared" ref="K13:K17" si="6">IFERROR(VLOOKUP(J13,$J$3:$Q$8,MATCH($K$11,$J$2:$Q$2,0),FALSE),0)</f>
        <v>17</v>
      </c>
      <c r="L13" s="84">
        <f t="shared" ref="L13:L17" si="7">IFERROR(VLOOKUP(J13,$J$3:$Q$8,MATCH($L$11,$J$2:$Q$2,0),FALSE),0)</f>
        <v>31</v>
      </c>
      <c r="M13" s="84">
        <f t="shared" ref="M13:M17" si="8">IFERROR(VLOOKUP(J13,$J$3:$Q$8,MATCH($M$11,$J$2:$Q$2,0),FALSE),0)</f>
        <v>27</v>
      </c>
      <c r="N13" s="84">
        <f t="shared" ref="N13:N17" si="9">IFERROR(VLOOKUP(J13,$J$3:$Q$8,MATCH($N$11,$J$2:$Q$2,0),FALSE),0)</f>
        <v>37</v>
      </c>
      <c r="O13" s="84">
        <f t="shared" ref="O13:O17" si="10">IFERROR(VLOOKUP(J13,$J$3:$Q$8,MATCH($O$11,$J$2:$Q$2,0),FALSE),0)</f>
        <v>32</v>
      </c>
      <c r="P13" s="84">
        <f t="shared" ref="P13:P17" si="11">IFERROR(VLOOKUP(J13,$J$3:$Q$8,MATCH($P$11,$J$2:$Q$2,0),FALSE),0)</f>
        <v>22</v>
      </c>
      <c r="Q13" s="84">
        <f t="shared" ref="Q13:Q17" si="12">SUM(K13:P13)</f>
        <v>166</v>
      </c>
    </row>
    <row r="14" spans="1:17" x14ac:dyDescent="0.25">
      <c r="A14" s="85" t="s">
        <v>11</v>
      </c>
      <c r="B14" s="86">
        <f t="shared" ref="B13:B17" si="13">IFERROR(VLOOKUP(A14,$A$3:$G$8,MATCH($B$11,$A$2:$G$2,0),FALSE),0)</f>
        <v>26</v>
      </c>
      <c r="C14" s="86">
        <f t="shared" si="0"/>
        <v>12</v>
      </c>
      <c r="D14" s="86">
        <f>IFERROR(VLOOKUP(A14,$A$3:$G$8,MATCH($D$11,$A$2:$G$2,0),FALSE),0)</f>
        <v>27</v>
      </c>
      <c r="E14" s="86">
        <f t="shared" si="2"/>
        <v>16</v>
      </c>
      <c r="F14" s="86">
        <f t="shared" si="3"/>
        <v>46</v>
      </c>
      <c r="G14" s="86">
        <f t="shared" si="4"/>
        <v>0</v>
      </c>
      <c r="H14" s="87">
        <f t="shared" si="5"/>
        <v>127</v>
      </c>
      <c r="J14" s="85" t="s">
        <v>31</v>
      </c>
      <c r="K14" s="84">
        <f t="shared" si="6"/>
        <v>48</v>
      </c>
      <c r="L14" s="84">
        <f t="shared" si="7"/>
        <v>12</v>
      </c>
      <c r="M14" s="84">
        <f t="shared" si="8"/>
        <v>35</v>
      </c>
      <c r="N14" s="84">
        <f t="shared" si="9"/>
        <v>16</v>
      </c>
      <c r="O14" s="84">
        <f t="shared" si="10"/>
        <v>21</v>
      </c>
      <c r="P14" s="84">
        <f t="shared" si="11"/>
        <v>0</v>
      </c>
      <c r="Q14" s="84">
        <f t="shared" si="12"/>
        <v>132</v>
      </c>
    </row>
    <row r="15" spans="1:17" x14ac:dyDescent="0.25">
      <c r="A15" s="85" t="s">
        <v>34</v>
      </c>
      <c r="B15" s="86">
        <f t="shared" si="13"/>
        <v>7</v>
      </c>
      <c r="C15" s="86">
        <f t="shared" si="0"/>
        <v>11</v>
      </c>
      <c r="D15" s="86">
        <f t="shared" si="1"/>
        <v>40</v>
      </c>
      <c r="E15" s="86">
        <f t="shared" si="2"/>
        <v>0</v>
      </c>
      <c r="F15" s="86">
        <f t="shared" si="3"/>
        <v>25</v>
      </c>
      <c r="G15" s="86">
        <f t="shared" si="4"/>
        <v>7</v>
      </c>
      <c r="H15" s="87">
        <f t="shared" si="5"/>
        <v>90</v>
      </c>
      <c r="J15" s="85" t="s">
        <v>22</v>
      </c>
      <c r="K15" s="84">
        <f t="shared" si="6"/>
        <v>14</v>
      </c>
      <c r="L15" s="84">
        <f t="shared" si="7"/>
        <v>15</v>
      </c>
      <c r="M15" s="84">
        <f t="shared" si="8"/>
        <v>41</v>
      </c>
      <c r="N15" s="84">
        <f t="shared" si="9"/>
        <v>16</v>
      </c>
      <c r="O15" s="84">
        <f t="shared" si="10"/>
        <v>1</v>
      </c>
      <c r="P15" s="84">
        <f t="shared" si="11"/>
        <v>1</v>
      </c>
      <c r="Q15" s="84">
        <f t="shared" si="12"/>
        <v>88</v>
      </c>
    </row>
    <row r="16" spans="1:17" x14ac:dyDescent="0.25">
      <c r="A16" s="85" t="s">
        <v>38</v>
      </c>
      <c r="B16" s="86">
        <f t="shared" si="13"/>
        <v>16</v>
      </c>
      <c r="C16" s="86">
        <f t="shared" si="0"/>
        <v>51</v>
      </c>
      <c r="D16" s="86">
        <f t="shared" si="1"/>
        <v>22</v>
      </c>
      <c r="E16" s="86">
        <f t="shared" si="2"/>
        <v>0</v>
      </c>
      <c r="F16" s="86">
        <f t="shared" si="3"/>
        <v>17</v>
      </c>
      <c r="G16" s="86">
        <f t="shared" si="4"/>
        <v>24</v>
      </c>
      <c r="H16" s="87">
        <f t="shared" si="5"/>
        <v>130</v>
      </c>
      <c r="J16" s="85" t="s">
        <v>55</v>
      </c>
      <c r="K16" s="84">
        <f t="shared" si="6"/>
        <v>39</v>
      </c>
      <c r="L16" s="84">
        <f t="shared" si="7"/>
        <v>38</v>
      </c>
      <c r="M16" s="84">
        <f t="shared" si="8"/>
        <v>17</v>
      </c>
      <c r="N16" s="84">
        <f t="shared" si="9"/>
        <v>38</v>
      </c>
      <c r="O16" s="84">
        <f t="shared" si="10"/>
        <v>25</v>
      </c>
      <c r="P16" s="84">
        <f t="shared" si="11"/>
        <v>15</v>
      </c>
      <c r="Q16" s="84">
        <f t="shared" si="12"/>
        <v>172</v>
      </c>
    </row>
    <row r="17" spans="1:17" x14ac:dyDescent="0.25">
      <c r="A17" s="85" t="s">
        <v>17</v>
      </c>
      <c r="B17" s="86">
        <f t="shared" si="13"/>
        <v>12</v>
      </c>
      <c r="C17" s="86">
        <f t="shared" si="0"/>
        <v>17</v>
      </c>
      <c r="D17" s="86">
        <f t="shared" si="1"/>
        <v>21</v>
      </c>
      <c r="E17" s="86">
        <f t="shared" si="2"/>
        <v>11</v>
      </c>
      <c r="F17" s="86">
        <f t="shared" si="3"/>
        <v>36</v>
      </c>
      <c r="G17" s="86">
        <f t="shared" si="4"/>
        <v>0</v>
      </c>
      <c r="H17" s="87">
        <f t="shared" si="5"/>
        <v>97</v>
      </c>
      <c r="J17" s="85" t="s">
        <v>35</v>
      </c>
      <c r="K17" s="84">
        <f t="shared" si="6"/>
        <v>10</v>
      </c>
      <c r="L17" s="84">
        <f t="shared" si="7"/>
        <v>20</v>
      </c>
      <c r="M17" s="84">
        <f t="shared" si="8"/>
        <v>16</v>
      </c>
      <c r="N17" s="84">
        <f t="shared" si="9"/>
        <v>18</v>
      </c>
      <c r="O17" s="84">
        <f t="shared" si="10"/>
        <v>0</v>
      </c>
      <c r="P17" s="84">
        <f t="shared" si="11"/>
        <v>8</v>
      </c>
      <c r="Q17" s="84">
        <f t="shared" si="12"/>
        <v>72</v>
      </c>
    </row>
    <row r="18" spans="1:17" x14ac:dyDescent="0.25">
      <c r="A18" s="17"/>
      <c r="B18" s="19"/>
      <c r="C18" s="19"/>
      <c r="D18" s="19"/>
      <c r="E18" s="19"/>
      <c r="F18" s="19"/>
      <c r="G18" s="19"/>
      <c r="H18" s="19"/>
      <c r="L18" s="19"/>
      <c r="M18" s="19"/>
      <c r="N18" s="19"/>
      <c r="O18" s="19"/>
      <c r="P18" s="19"/>
    </row>
    <row r="19" spans="1:17" x14ac:dyDescent="0.25">
      <c r="A19" s="17"/>
      <c r="B19" s="19"/>
      <c r="C19" s="19"/>
      <c r="D19" s="19"/>
      <c r="E19" s="19"/>
      <c r="F19" s="19"/>
      <c r="G19" s="19"/>
      <c r="H19" s="19"/>
      <c r="L19" s="19"/>
      <c r="M19" s="19"/>
      <c r="N19" s="19"/>
      <c r="O19" s="19"/>
      <c r="P19" s="19"/>
    </row>
    <row r="20" spans="1:17" x14ac:dyDescent="0.25">
      <c r="A20" s="17"/>
      <c r="B20" s="19"/>
      <c r="C20" s="19"/>
      <c r="D20" s="19"/>
      <c r="E20" s="19"/>
      <c r="F20" s="19"/>
      <c r="G20" s="19"/>
      <c r="H20" s="19"/>
      <c r="L20" s="19"/>
      <c r="M20" s="19"/>
      <c r="N20" s="19"/>
      <c r="O20" s="19"/>
      <c r="P20" s="19"/>
    </row>
    <row r="21" spans="1:17" x14ac:dyDescent="0.25">
      <c r="A21" s="17"/>
      <c r="B21" s="19"/>
      <c r="C21" s="19"/>
      <c r="D21" s="19"/>
      <c r="E21" s="19"/>
      <c r="F21" s="19"/>
      <c r="G21" s="19"/>
      <c r="H21" s="19"/>
      <c r="L21" s="19"/>
      <c r="M21" s="19"/>
      <c r="N21" s="19"/>
      <c r="O21" s="19"/>
      <c r="P21" s="19"/>
    </row>
    <row r="22" spans="1:17" x14ac:dyDescent="0.25">
      <c r="A22" s="17"/>
      <c r="B22" s="19"/>
      <c r="C22" s="19"/>
      <c r="D22" s="19"/>
      <c r="E22" s="19"/>
      <c r="F22" s="19"/>
      <c r="G22" s="19"/>
      <c r="H22" s="19"/>
      <c r="L22" s="19"/>
      <c r="M22" s="19"/>
      <c r="N22" s="19"/>
      <c r="O22" s="19"/>
      <c r="P22" s="19"/>
    </row>
    <row r="23" spans="1:17" x14ac:dyDescent="0.25">
      <c r="A23" s="17"/>
      <c r="B23" s="19"/>
      <c r="C23" s="19"/>
      <c r="D23" s="19"/>
      <c r="E23" s="19"/>
      <c r="F23" s="19"/>
      <c r="G23" s="19"/>
      <c r="H23" s="19"/>
      <c r="L23" s="19"/>
      <c r="M23" s="19"/>
      <c r="N23" s="19"/>
      <c r="O23" s="19"/>
      <c r="P23" s="19"/>
    </row>
    <row r="26" spans="1:17" x14ac:dyDescent="0.25">
      <c r="H26" s="44"/>
    </row>
    <row r="27" spans="1:17" x14ac:dyDescent="0.25">
      <c r="H27" s="44"/>
    </row>
    <row r="28" spans="1:17" x14ac:dyDescent="0.25">
      <c r="H28" s="44"/>
    </row>
    <row r="29" spans="1:17" x14ac:dyDescent="0.25">
      <c r="H29" s="44"/>
    </row>
    <row r="30" spans="1:17" x14ac:dyDescent="0.25">
      <c r="H30" s="44"/>
    </row>
    <row r="31" spans="1:17" x14ac:dyDescent="0.25">
      <c r="H31" s="44"/>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3" tint="0.39997558519241921"/>
  </sheetPr>
  <dimension ref="A3:L9"/>
  <sheetViews>
    <sheetView topLeftCell="A2" workbookViewId="0">
      <selection activeCell="J21" sqref="J21"/>
    </sheetView>
  </sheetViews>
  <sheetFormatPr defaultRowHeight="15" x14ac:dyDescent="0.25"/>
  <cols>
    <col min="1" max="1" width="13.140625" customWidth="1"/>
    <col min="2" max="2" width="20.42578125" bestFit="1" customWidth="1"/>
    <col min="3" max="3" width="4.140625" customWidth="1"/>
    <col min="4" max="4" width="13.140625" customWidth="1"/>
    <col min="5" max="5" width="20.42578125" bestFit="1" customWidth="1"/>
    <col min="6" max="6" width="2.28515625" customWidth="1"/>
    <col min="7" max="7" width="13.140625" bestFit="1" customWidth="1"/>
    <col min="8" max="8" width="20.42578125" bestFit="1" customWidth="1"/>
    <col min="9" max="9" width="2.28515625" customWidth="1"/>
    <col min="10" max="10" width="13.140625" bestFit="1" customWidth="1"/>
    <col min="11" max="11" width="17.42578125" customWidth="1"/>
  </cols>
  <sheetData>
    <row r="3" spans="1:12" x14ac:dyDescent="0.25">
      <c r="A3" s="14" t="s">
        <v>548</v>
      </c>
      <c r="B3" t="s">
        <v>547</v>
      </c>
      <c r="D3" s="14" t="s">
        <v>548</v>
      </c>
      <c r="E3" t="s">
        <v>547</v>
      </c>
      <c r="G3" s="14" t="s">
        <v>548</v>
      </c>
      <c r="H3" t="s">
        <v>547</v>
      </c>
    </row>
    <row r="4" spans="1:12" x14ac:dyDescent="0.25">
      <c r="A4" s="17" t="s">
        <v>34</v>
      </c>
      <c r="B4" s="18">
        <v>16114.059999999998</v>
      </c>
      <c r="D4" s="17" t="s">
        <v>14</v>
      </c>
      <c r="E4" s="18">
        <v>16214.220000000001</v>
      </c>
      <c r="G4" s="17" t="s">
        <v>15</v>
      </c>
      <c r="H4" s="18">
        <v>19564.770000000004</v>
      </c>
      <c r="L4" s="19"/>
    </row>
    <row r="5" spans="1:12" x14ac:dyDescent="0.25">
      <c r="A5" s="17" t="s">
        <v>38</v>
      </c>
      <c r="B5" s="18">
        <v>20113.669999999998</v>
      </c>
      <c r="D5" s="17" t="s">
        <v>19</v>
      </c>
      <c r="E5" s="18">
        <v>16223.72</v>
      </c>
      <c r="G5" s="17" t="s">
        <v>20</v>
      </c>
      <c r="H5" s="18">
        <v>38410.80000000001</v>
      </c>
      <c r="L5" s="19"/>
    </row>
    <row r="6" spans="1:12" x14ac:dyDescent="0.25">
      <c r="A6" s="17" t="s">
        <v>25</v>
      </c>
      <c r="B6" s="18">
        <v>27014.850000000002</v>
      </c>
      <c r="D6" s="17" t="s">
        <v>61</v>
      </c>
      <c r="E6" s="18">
        <v>21607.72</v>
      </c>
      <c r="G6" s="17" t="s">
        <v>36</v>
      </c>
      <c r="H6" s="18">
        <v>40855.599999999999</v>
      </c>
      <c r="L6" s="19"/>
    </row>
    <row r="7" spans="1:12" x14ac:dyDescent="0.25">
      <c r="A7" s="17" t="s">
        <v>552</v>
      </c>
      <c r="B7" s="18">
        <v>63242.58</v>
      </c>
      <c r="D7" s="17" t="s">
        <v>552</v>
      </c>
      <c r="E7" s="18">
        <v>54045.66</v>
      </c>
      <c r="G7" s="17" t="s">
        <v>552</v>
      </c>
      <c r="H7" s="18">
        <v>98831.170000000013</v>
      </c>
      <c r="L7" s="19"/>
    </row>
    <row r="8" spans="1:12" x14ac:dyDescent="0.25">
      <c r="L8" s="19"/>
    </row>
    <row r="9" spans="1:12" x14ac:dyDescent="0.25">
      <c r="L9"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3" tint="0.39997558519241921"/>
  </sheetPr>
  <dimension ref="B2:I10"/>
  <sheetViews>
    <sheetView workbookViewId="0">
      <selection activeCell="I3" sqref="I3:I9"/>
    </sheetView>
  </sheetViews>
  <sheetFormatPr defaultRowHeight="15" x14ac:dyDescent="0.25"/>
  <cols>
    <col min="2" max="2" width="13.140625" bestFit="1" customWidth="1"/>
    <col min="3" max="3" width="20.42578125" bestFit="1" customWidth="1"/>
    <col min="5" max="5" width="13.140625" bestFit="1" customWidth="1"/>
    <col min="6" max="6" width="20.42578125" bestFit="1" customWidth="1"/>
    <col min="8" max="8" width="13.140625" bestFit="1" customWidth="1"/>
    <col min="9" max="9" width="20.42578125" bestFit="1" customWidth="1"/>
  </cols>
  <sheetData>
    <row r="2" spans="2:9" x14ac:dyDescent="0.25">
      <c r="B2" s="14" t="s">
        <v>548</v>
      </c>
      <c r="C2" t="s">
        <v>547</v>
      </c>
      <c r="E2" s="14" t="s">
        <v>548</v>
      </c>
      <c r="F2" t="s">
        <v>547</v>
      </c>
      <c r="H2" s="14" t="s">
        <v>548</v>
      </c>
      <c r="I2" t="s">
        <v>547</v>
      </c>
    </row>
    <row r="3" spans="2:9" x14ac:dyDescent="0.25">
      <c r="B3" s="17" t="s">
        <v>36</v>
      </c>
      <c r="C3" s="25">
        <v>0.41338780063010477</v>
      </c>
      <c r="E3" s="17" t="s">
        <v>25</v>
      </c>
      <c r="F3" s="25">
        <v>0.27334341989475591</v>
      </c>
      <c r="H3" s="17" t="s">
        <v>61</v>
      </c>
      <c r="I3" s="25">
        <v>0.21863264393207121</v>
      </c>
    </row>
    <row r="4" spans="2:9" x14ac:dyDescent="0.25">
      <c r="B4" s="17" t="s">
        <v>20</v>
      </c>
      <c r="C4" s="25">
        <v>0.38865066557443373</v>
      </c>
      <c r="E4" s="17" t="s">
        <v>38</v>
      </c>
      <c r="F4" s="25">
        <v>0.20351544962990925</v>
      </c>
      <c r="H4" s="17" t="s">
        <v>19</v>
      </c>
      <c r="I4" s="25">
        <v>0.16415590344625078</v>
      </c>
    </row>
    <row r="5" spans="2:9" x14ac:dyDescent="0.25">
      <c r="B5" s="17" t="s">
        <v>15</v>
      </c>
      <c r="C5" s="25">
        <v>0.1979615337954615</v>
      </c>
      <c r="E5" s="17" t="s">
        <v>34</v>
      </c>
      <c r="F5" s="25">
        <v>0.16304633447119971</v>
      </c>
      <c r="H5" s="17" t="s">
        <v>14</v>
      </c>
      <c r="I5" s="25">
        <v>0.16405977992570561</v>
      </c>
    </row>
    <row r="6" spans="2:9" x14ac:dyDescent="0.25">
      <c r="B6" s="17" t="s">
        <v>552</v>
      </c>
      <c r="C6" s="25">
        <v>1</v>
      </c>
      <c r="E6" s="17" t="s">
        <v>30</v>
      </c>
      <c r="F6" s="25">
        <v>0.13790214160168299</v>
      </c>
      <c r="H6" s="17" t="s">
        <v>39</v>
      </c>
      <c r="I6" s="25">
        <v>0.14246811001023257</v>
      </c>
    </row>
    <row r="7" spans="2:9" x14ac:dyDescent="0.25">
      <c r="E7" s="17" t="s">
        <v>11</v>
      </c>
      <c r="F7" s="25">
        <v>0.12713772385776673</v>
      </c>
      <c r="H7" s="17" t="s">
        <v>42</v>
      </c>
      <c r="I7" s="25">
        <v>0.12076240724459701</v>
      </c>
    </row>
    <row r="8" spans="2:9" x14ac:dyDescent="0.25">
      <c r="E8" s="17" t="s">
        <v>17</v>
      </c>
      <c r="F8" s="25">
        <v>9.5054930544685445E-2</v>
      </c>
      <c r="H8" s="17" t="s">
        <v>32</v>
      </c>
      <c r="I8" s="25">
        <v>0.11281157553836507</v>
      </c>
    </row>
    <row r="9" spans="2:9" x14ac:dyDescent="0.25">
      <c r="E9" s="17" t="s">
        <v>552</v>
      </c>
      <c r="F9" s="25">
        <v>1</v>
      </c>
      <c r="H9" s="17" t="s">
        <v>28</v>
      </c>
      <c r="I9" s="25">
        <v>7.7109579902777628E-2</v>
      </c>
    </row>
    <row r="10" spans="2:9" x14ac:dyDescent="0.25">
      <c r="H10" s="17" t="s">
        <v>552</v>
      </c>
      <c r="I10" s="2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3" tint="0.39997558519241921"/>
  </sheetPr>
  <dimension ref="B2:U19"/>
  <sheetViews>
    <sheetView workbookViewId="0">
      <selection activeCell="H22" sqref="H22"/>
    </sheetView>
  </sheetViews>
  <sheetFormatPr defaultRowHeight="15" x14ac:dyDescent="0.25"/>
  <cols>
    <col min="1" max="1" width="9.140625" style="31"/>
    <col min="2" max="2" width="13.140625" style="31" customWidth="1"/>
    <col min="3" max="3" width="20.42578125" style="31" customWidth="1"/>
    <col min="4" max="4" width="1.7109375" style="31" customWidth="1"/>
    <col min="5" max="5" width="13.140625" style="31" bestFit="1" customWidth="1"/>
    <col min="6" max="6" width="20.42578125" style="31" bestFit="1" customWidth="1"/>
    <col min="7" max="7" width="1.42578125" style="31" customWidth="1"/>
    <col min="8" max="8" width="13.140625" style="31" customWidth="1"/>
    <col min="9" max="9" width="15.7109375" style="31" customWidth="1"/>
    <col min="10" max="10" width="1.5703125" style="31" customWidth="1"/>
    <col min="11" max="11" width="13.140625" style="31" bestFit="1" customWidth="1"/>
    <col min="12" max="12" width="20.42578125" style="31" bestFit="1" customWidth="1"/>
    <col min="13" max="13" width="1.28515625" style="31" customWidth="1"/>
    <col min="14" max="14" width="12.42578125" style="31" customWidth="1"/>
    <col min="15" max="15" width="9" style="31" customWidth="1"/>
    <col min="16" max="16" width="6" style="31" customWidth="1"/>
    <col min="17" max="17" width="7.140625" style="31" customWidth="1"/>
    <col min="18" max="18" width="8.28515625" style="31" customWidth="1"/>
    <col min="19" max="19" width="6.7109375" style="31" customWidth="1"/>
    <col min="20" max="20" width="6.5703125" style="31" customWidth="1"/>
    <col min="21" max="26" width="19" style="31" bestFit="1" customWidth="1"/>
    <col min="27" max="16384" width="9.140625" style="31"/>
  </cols>
  <sheetData>
    <row r="2" spans="2:21" x14ac:dyDescent="0.25">
      <c r="B2" s="30" t="s">
        <v>548</v>
      </c>
      <c r="C2" s="31" t="s">
        <v>547</v>
      </c>
      <c r="E2" s="30" t="s">
        <v>548</v>
      </c>
      <c r="F2" s="31" t="s">
        <v>547</v>
      </c>
      <c r="H2" s="30" t="s">
        <v>548</v>
      </c>
      <c r="I2" s="31" t="s">
        <v>1071</v>
      </c>
      <c r="J2"/>
      <c r="K2" s="30" t="s">
        <v>548</v>
      </c>
      <c r="L2" s="31" t="s">
        <v>547</v>
      </c>
      <c r="N2" s="32"/>
      <c r="O2" s="33"/>
      <c r="P2" s="33"/>
      <c r="Q2" s="33"/>
      <c r="R2" s="33"/>
      <c r="S2" s="33"/>
      <c r="T2" s="33"/>
      <c r="U2" s="33"/>
    </row>
    <row r="3" spans="2:21" x14ac:dyDescent="0.25">
      <c r="B3" s="34" t="s">
        <v>549</v>
      </c>
      <c r="C3" s="35">
        <v>102989.92000000003</v>
      </c>
      <c r="D3" s="35"/>
      <c r="E3" s="34" t="s">
        <v>549</v>
      </c>
      <c r="F3" s="36"/>
      <c r="H3" s="37" t="s">
        <v>15</v>
      </c>
      <c r="I3" s="38">
        <v>19</v>
      </c>
      <c r="J3"/>
      <c r="K3" s="37" t="s">
        <v>17</v>
      </c>
      <c r="L3" s="35">
        <v>9394.39</v>
      </c>
      <c r="N3" s="39"/>
      <c r="O3" s="33"/>
      <c r="P3" s="33"/>
      <c r="Q3" s="33"/>
      <c r="R3" s="33"/>
      <c r="S3" s="33"/>
      <c r="T3" s="33"/>
      <c r="U3" s="33"/>
    </row>
    <row r="4" spans="2:21" x14ac:dyDescent="0.25">
      <c r="B4" s="34" t="s">
        <v>557</v>
      </c>
      <c r="C4" s="35">
        <v>128723.41999999995</v>
      </c>
      <c r="D4" s="35"/>
      <c r="E4" s="34" t="s">
        <v>557</v>
      </c>
      <c r="F4" s="40">
        <v>0.24986425856044864</v>
      </c>
      <c r="H4" s="37" t="s">
        <v>20</v>
      </c>
      <c r="I4" s="38">
        <v>25</v>
      </c>
      <c r="J4"/>
      <c r="K4" s="37" t="s">
        <v>11</v>
      </c>
      <c r="L4" s="35">
        <v>12565.169999999998</v>
      </c>
      <c r="N4" s="39"/>
      <c r="O4" s="42"/>
      <c r="P4" s="41"/>
      <c r="Q4" s="41"/>
      <c r="R4" s="41"/>
      <c r="S4" s="41"/>
      <c r="T4" s="41"/>
      <c r="U4" s="33"/>
    </row>
    <row r="5" spans="2:21" x14ac:dyDescent="0.25">
      <c r="B5" s="34" t="s">
        <v>550</v>
      </c>
      <c r="C5" s="35">
        <v>118450.73999999999</v>
      </c>
      <c r="D5" s="35"/>
      <c r="E5" s="34" t="s">
        <v>550</v>
      </c>
      <c r="F5" s="40">
        <v>-7.9804281147905859E-2</v>
      </c>
      <c r="H5" s="37" t="s">
        <v>36</v>
      </c>
      <c r="I5" s="38">
        <v>26</v>
      </c>
      <c r="J5"/>
      <c r="K5" s="37" t="s">
        <v>30</v>
      </c>
      <c r="L5" s="35">
        <v>13629.030000000002</v>
      </c>
      <c r="N5" s="33"/>
      <c r="O5" s="41"/>
      <c r="P5" s="41"/>
      <c r="Q5" s="41"/>
      <c r="R5" s="41"/>
      <c r="S5" s="41"/>
      <c r="T5" s="41"/>
      <c r="U5" s="33"/>
    </row>
    <row r="6" spans="2:21" x14ac:dyDescent="0.25">
      <c r="B6" s="34" t="s">
        <v>558</v>
      </c>
      <c r="C6" s="35">
        <v>115753.37</v>
      </c>
      <c r="D6" s="35"/>
      <c r="E6" s="34" t="s">
        <v>558</v>
      </c>
      <c r="F6" s="40">
        <v>-2.2772082301891872E-2</v>
      </c>
      <c r="H6" s="37" t="s">
        <v>552</v>
      </c>
      <c r="I6" s="38">
        <v>70</v>
      </c>
      <c r="J6"/>
      <c r="K6" s="37" t="s">
        <v>34</v>
      </c>
      <c r="L6" s="35">
        <v>16114.059999999998</v>
      </c>
      <c r="N6" s="33"/>
      <c r="O6" s="41"/>
      <c r="P6" s="41"/>
      <c r="Q6" s="41"/>
      <c r="R6" s="41"/>
      <c r="S6" s="41"/>
      <c r="T6" s="41"/>
      <c r="U6" s="33"/>
    </row>
    <row r="7" spans="2:21" x14ac:dyDescent="0.25">
      <c r="B7" s="34" t="s">
        <v>559</v>
      </c>
      <c r="C7" s="35">
        <v>125637.77999999998</v>
      </c>
      <c r="D7" s="35"/>
      <c r="E7" s="34" t="s">
        <v>559</v>
      </c>
      <c r="F7" s="40">
        <v>8.5391984699883808E-2</v>
      </c>
      <c r="H7"/>
      <c r="I7"/>
      <c r="J7"/>
      <c r="K7" s="37" t="s">
        <v>38</v>
      </c>
      <c r="L7" s="35">
        <v>20113.669999999998</v>
      </c>
      <c r="N7" s="33"/>
      <c r="O7" s="41"/>
      <c r="P7" s="41"/>
      <c r="Q7" s="41"/>
      <c r="R7" s="41"/>
      <c r="S7" s="41"/>
      <c r="T7" s="41"/>
      <c r="U7" s="33"/>
    </row>
    <row r="8" spans="2:21" x14ac:dyDescent="0.25">
      <c r="B8" s="34" t="s">
        <v>551</v>
      </c>
      <c r="C8" s="35">
        <v>126802.88</v>
      </c>
      <c r="D8" s="35"/>
      <c r="E8" s="34" t="s">
        <v>551</v>
      </c>
      <c r="F8" s="40">
        <v>9.2734844566659848E-3</v>
      </c>
      <c r="H8"/>
      <c r="I8"/>
      <c r="J8"/>
      <c r="K8" s="37" t="s">
        <v>25</v>
      </c>
      <c r="L8" s="35">
        <v>27014.850000000002</v>
      </c>
      <c r="N8" s="33"/>
      <c r="O8" s="41"/>
      <c r="P8" s="41"/>
      <c r="Q8" s="41"/>
      <c r="R8" s="41"/>
      <c r="S8" s="41"/>
      <c r="T8" s="41"/>
      <c r="U8" s="33"/>
    </row>
    <row r="9" spans="2:21" x14ac:dyDescent="0.25">
      <c r="B9" s="34" t="s">
        <v>560</v>
      </c>
      <c r="C9" s="35">
        <v>140198.13</v>
      </c>
      <c r="D9" s="35"/>
      <c r="E9" s="34" t="s">
        <v>560</v>
      </c>
      <c r="F9" s="40">
        <v>0.10563837351328298</v>
      </c>
      <c r="H9"/>
      <c r="I9"/>
      <c r="J9"/>
      <c r="K9" s="37" t="s">
        <v>552</v>
      </c>
      <c r="L9" s="35">
        <v>98831.17</v>
      </c>
      <c r="N9" s="33"/>
      <c r="O9" s="41"/>
      <c r="P9" s="41"/>
      <c r="Q9" s="41"/>
      <c r="R9" s="41"/>
      <c r="S9" s="41"/>
      <c r="T9" s="41"/>
      <c r="U9" s="33"/>
    </row>
    <row r="10" spans="2:21" x14ac:dyDescent="0.25">
      <c r="B10" s="34" t="s">
        <v>554</v>
      </c>
      <c r="C10" s="35">
        <v>96240.749999999985</v>
      </c>
      <c r="D10" s="35"/>
      <c r="E10" s="34" t="s">
        <v>554</v>
      </c>
      <c r="F10" s="40">
        <v>-0.31353756287619539</v>
      </c>
      <c r="H10"/>
      <c r="I10"/>
      <c r="J10"/>
      <c r="N10" s="33"/>
      <c r="O10" s="33"/>
      <c r="P10" s="33"/>
      <c r="Q10" s="33"/>
      <c r="R10" s="33"/>
      <c r="S10" s="33"/>
      <c r="T10" s="33"/>
      <c r="U10" s="33"/>
    </row>
    <row r="11" spans="2:21" x14ac:dyDescent="0.25">
      <c r="B11" s="34" t="s">
        <v>561</v>
      </c>
      <c r="C11" s="35">
        <v>98831.169999999955</v>
      </c>
      <c r="D11" s="35"/>
      <c r="E11" s="34" t="s">
        <v>561</v>
      </c>
      <c r="F11" s="40">
        <v>2.6916041281889111E-2</v>
      </c>
      <c r="H11"/>
      <c r="I11"/>
      <c r="J11"/>
      <c r="N11" s="33"/>
      <c r="O11" s="33"/>
      <c r="P11" s="33"/>
      <c r="Q11" s="33"/>
      <c r="R11" s="33"/>
      <c r="S11" s="33"/>
      <c r="T11" s="33"/>
      <c r="U11" s="33"/>
    </row>
    <row r="12" spans="2:21" x14ac:dyDescent="0.25">
      <c r="B12" s="34" t="s">
        <v>555</v>
      </c>
      <c r="C12" s="35">
        <v>146726.46000000002</v>
      </c>
      <c r="D12" s="35"/>
      <c r="E12" s="34" t="s">
        <v>555</v>
      </c>
      <c r="F12" s="40">
        <v>0.48461725182450122</v>
      </c>
      <c r="H12"/>
      <c r="I12"/>
      <c r="J12"/>
      <c r="O12" s="33"/>
      <c r="P12" s="33"/>
      <c r="Q12" s="33"/>
      <c r="R12" s="33"/>
      <c r="S12" s="33"/>
      <c r="T12" s="33"/>
      <c r="U12" s="33"/>
    </row>
    <row r="13" spans="2:21" x14ac:dyDescent="0.25">
      <c r="B13" s="34" t="s">
        <v>562</v>
      </c>
      <c r="C13" s="35">
        <v>131542.52999999994</v>
      </c>
      <c r="D13" s="35"/>
      <c r="E13" s="34" t="s">
        <v>562</v>
      </c>
      <c r="F13" s="40">
        <v>-0.10348460666194821</v>
      </c>
      <c r="H13"/>
      <c r="I13"/>
      <c r="J13"/>
      <c r="O13" s="33"/>
      <c r="P13" s="33"/>
      <c r="Q13" s="33"/>
      <c r="R13" s="33"/>
      <c r="S13" s="33"/>
      <c r="T13" s="33"/>
      <c r="U13" s="33"/>
    </row>
    <row r="14" spans="2:21" x14ac:dyDescent="0.25">
      <c r="B14" s="34" t="s">
        <v>556</v>
      </c>
      <c r="C14" s="35">
        <v>127951.48000000003</v>
      </c>
      <c r="D14" s="35"/>
      <c r="E14" s="34" t="s">
        <v>556</v>
      </c>
      <c r="F14" s="40">
        <v>-2.7299535747107168E-2</v>
      </c>
      <c r="H14"/>
      <c r="I14"/>
      <c r="J14"/>
      <c r="O14" s="33"/>
      <c r="P14" s="33"/>
      <c r="Q14" s="33"/>
      <c r="R14" s="33"/>
      <c r="S14" s="33"/>
      <c r="T14" s="33"/>
      <c r="U14" s="33"/>
    </row>
    <row r="15" spans="2:21" x14ac:dyDescent="0.25">
      <c r="B15" s="34" t="s">
        <v>552</v>
      </c>
      <c r="C15" s="35">
        <v>1459848.63</v>
      </c>
      <c r="D15" s="35"/>
      <c r="E15" s="34" t="s">
        <v>552</v>
      </c>
      <c r="F15" s="36"/>
      <c r="H15"/>
      <c r="I15"/>
      <c r="J15"/>
      <c r="O15" s="33"/>
      <c r="P15" s="33"/>
      <c r="Q15" s="33"/>
      <c r="R15" s="33"/>
      <c r="S15" s="33"/>
      <c r="T15" s="33"/>
      <c r="U15" s="33"/>
    </row>
    <row r="16" spans="2:21" x14ac:dyDescent="0.25">
      <c r="H16"/>
      <c r="I16"/>
      <c r="J16"/>
      <c r="O16" s="33"/>
      <c r="P16" s="33"/>
      <c r="Q16" s="33"/>
      <c r="R16" s="33"/>
      <c r="S16" s="33"/>
      <c r="T16" s="33"/>
      <c r="U16" s="33"/>
    </row>
    <row r="17" spans="8:21" x14ac:dyDescent="0.25">
      <c r="H17"/>
      <c r="I17"/>
      <c r="J17"/>
      <c r="O17" s="33"/>
      <c r="P17" s="33"/>
      <c r="Q17" s="33"/>
      <c r="R17" s="33"/>
      <c r="S17" s="33"/>
      <c r="T17" s="33"/>
      <c r="U17" s="33"/>
    </row>
    <row r="18" spans="8:21" x14ac:dyDescent="0.25">
      <c r="H18"/>
      <c r="I18"/>
      <c r="J18"/>
    </row>
    <row r="19" spans="8:21" x14ac:dyDescent="0.25">
      <c r="H19"/>
      <c r="I19"/>
      <c r="J19"/>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iconSet" priority="6" id="{7E9E5BEF-C0EB-41E3-BD11-2895DC468239}">
            <x14:iconSet iconSet="3Arrows" custom="1">
              <x14:cfvo type="percent">
                <xm:f>0</xm:f>
              </x14:cfvo>
              <x14:cfvo type="percent">
                <xm:f>0</xm:f>
              </x14:cfvo>
              <x14:cfvo type="percent">
                <xm:f>0</xm:f>
              </x14:cfvo>
              <x14:cfIcon iconSet="3Arrows" iconId="0"/>
              <x14:cfIcon iconSet="3Arrows" iconId="2"/>
              <x14:cfIcon iconSet="3Arrows" iconId="2"/>
            </x14:iconSet>
          </x14:cfRule>
          <xm:sqref>F3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EDA_Dataset</vt:lpstr>
      <vt:lpstr>DASHBOARD</vt:lpstr>
      <vt:lpstr>Pivot_KPI_Monthly_Growth_Table</vt:lpstr>
      <vt:lpstr>Pivot_Heatmap</vt:lpstr>
      <vt:lpstr>Pivot_Top_Chart_Tables</vt:lpstr>
      <vt:lpstr>Pivot_Contribution_Tabels</vt:lpstr>
      <vt:lpstr>Pivot_Chart_Tables</vt:lpstr>
      <vt:lpstr>DASHBOARD!Print_Area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2026-06-03T09:23:09Z</cp:lastPrinted>
  <dcterms:created xsi:type="dcterms:W3CDTF">2026-05-31T13:15:52Z</dcterms:created>
  <dcterms:modified xsi:type="dcterms:W3CDTF">2026-06-03T14:48:35Z</dcterms:modified>
</cp:coreProperties>
</file>